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3.xml" ContentType="application/vnd.openxmlformats-officedocument.drawing+xml"/>
  <Override PartName="/xl/tables/table2.xml" ContentType="application/vnd.openxmlformats-officedocument.spreadsheetml.table+xml"/>
  <Override PartName="/xl/slicers/slicer2.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drawings/drawing7.xml" ContentType="application/vnd.openxmlformats-officedocument.drawing+xml"/>
  <Override PartName="/xl/tables/table5.xml" ContentType="application/vnd.openxmlformats-officedocument.spreadsheetml.table+xml"/>
  <Override PartName="/xl/drawings/drawing8.xml" ContentType="application/vnd.openxmlformats-officedocument.drawing+xml"/>
  <Override PartName="/xl/tables/table6.xml" ContentType="application/vnd.openxmlformats-officedocument.spreadsheetml.table+xml"/>
  <Override PartName="/xl/drawings/drawing9.xml" ContentType="application/vnd.openxmlformats-officedocument.drawing+xml"/>
  <Override PartName="/xl/tables/table7.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166925"/>
  <mc:AlternateContent xmlns:mc="http://schemas.openxmlformats.org/markup-compatibility/2006">
    <mc:Choice Requires="x15">
      <x15ac:absPath xmlns:x15ac="http://schemas.microsoft.com/office/spreadsheetml/2010/11/ac" url="https://d.docs.live.net/3bfc5e63425db906/inventory project/"/>
    </mc:Choice>
  </mc:AlternateContent>
  <xr:revisionPtr revIDLastSave="171" documentId="13_ncr:1_{C3AB6EB8-55CA-4559-A756-0FD5A912989C}" xr6:coauthVersionLast="47" xr6:coauthVersionMax="47" xr10:uidLastSave="{8D1D69E1-E5C5-4EA8-AEC5-7758C3D549ED}"/>
  <bookViews>
    <workbookView xWindow="-108" yWindow="-108" windowWidth="23256" windowHeight="12576" tabRatio="902" xr2:uid="{A721BC48-1D79-4FCA-975D-9571F379EE6D}"/>
  </bookViews>
  <sheets>
    <sheet name="Dashboard" sheetId="1" r:id="rId1"/>
    <sheet name="Customer" sheetId="21" r:id="rId2"/>
    <sheet name="Pivot" sheetId="28" r:id="rId3"/>
    <sheet name="Product" sheetId="22" r:id="rId4"/>
    <sheet name="Purchase" sheetId="23" r:id="rId5"/>
    <sheet name="New Entry" sheetId="24" r:id="rId6"/>
    <sheet name="inventory" sheetId="26" r:id="rId7"/>
    <sheet name="Vendor" sheetId="25" r:id="rId8"/>
    <sheet name="Sales" sheetId="27" r:id="rId9"/>
  </sheets>
  <definedNames>
    <definedName name="Cust_ID">Customer!$D$5:$D$1048576</definedName>
    <definedName name="custdy">OFFSET(customersdata[[#Headers],[Cust_ID]],0,0,COUNTA(Customer!$D$4:$D$1048576),COUNTA(Customer!$D$4:$XFD$4))</definedName>
    <definedName name="dynamicproductlist">OFFSET(Pivot!$O$26, 0, 0, COUNTA(Pivot!$O$26:$O$1000), 1)</definedName>
    <definedName name="HSNCODE">product[HSN Code]</definedName>
    <definedName name="inventorydy">OFFSET(Inventory[[#Headers],[HSN Code]],0,0,COUNTA(inventory!$E$4:$E$1048576),COUNTA(Inventory[[#Headers],[Product Name]:[notifications]]))</definedName>
    <definedName name="prodt">OFFSET(product[[#Headers],[HSN Code]],0,0,COUNTA(Product!$D$4:$D$1048576),COUNTA(Product!$D$4:$XFD$4))</definedName>
    <definedName name="productcode">Product!$D$5:$D$1048576</definedName>
    <definedName name="purcdy">OFFSET(purchase[[#Headers],[HSN Code]],0,0,COUNTA(Purchase!$D$4:$D$1048576),COUNTA(purchase[#Headers]))</definedName>
    <definedName name="purcode">Purchase!$D$5:$D$1048576</definedName>
    <definedName name="salesdy">OFFSET(sales[[#Headers],[Cust_ID]],0,0,COUNTA(Sales!$D$4:$D$1048576),COUNTA(Sales!$D$4:$XFD$4))</definedName>
    <definedName name="Slicer_Months__Date">#N/A</definedName>
    <definedName name="Slicer_Product_Name">#N/A</definedName>
    <definedName name="Slicer_Year">#N/A</definedName>
  </definedNames>
  <calcPr calcId="181029" calcMode="autoNoTable"/>
  <pivotCaches>
    <pivotCache cacheId="0" r:id="rId10"/>
    <pivotCache cacheId="1" r:id="rId11"/>
    <pivotCache cacheId="2" r:id="rId12"/>
    <pivotCache cacheId="3" r:id="rId13"/>
    <pivotCache cacheId="8" r:id="rId14"/>
  </pivotCaches>
  <extLst>
    <ext xmlns:x14="http://schemas.microsoft.com/office/spreadsheetml/2009/9/main" uri="{BBE1A952-AA13-448e-AADC-164F8A28A991}">
      <x14:slicerCaches>
        <x14:slicerCache r:id="rId15"/>
        <x14:slicerCache r:id="rId16"/>
        <x14:slicerCache r:id="rId1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8" i="26" l="1"/>
  <c r="F15" i="26"/>
  <c r="E36" i="28"/>
  <c r="E37" i="28"/>
  <c r="E38" i="28"/>
  <c r="E39" i="28"/>
  <c r="E40" i="28"/>
  <c r="E41" i="28"/>
  <c r="E42" i="28"/>
  <c r="E43" i="28"/>
  <c r="E44" i="28"/>
  <c r="E45" i="28"/>
  <c r="E46" i="28"/>
  <c r="E47" i="28"/>
  <c r="E48" i="28"/>
  <c r="D36" i="28"/>
  <c r="D48" i="28"/>
  <c r="C34" i="28"/>
  <c r="D37" i="28"/>
  <c r="D38" i="28"/>
  <c r="D39" i="28"/>
  <c r="D40" i="28"/>
  <c r="D41" i="28"/>
  <c r="D42" i="28"/>
  <c r="D43" i="28"/>
  <c r="D44" i="28"/>
  <c r="D45" i="28"/>
  <c r="D46" i="28"/>
  <c r="D47" i="28"/>
  <c r="E20" i="26"/>
  <c r="F20" i="26"/>
  <c r="E26" i="27"/>
  <c r="G26" i="27"/>
  <c r="I26" i="27"/>
  <c r="L26" i="27"/>
  <c r="O26" i="27" s="1"/>
  <c r="M26" i="27"/>
  <c r="N26" i="27" s="1"/>
  <c r="E19" i="23"/>
  <c r="I19" i="23"/>
  <c r="J19" i="23" s="1"/>
  <c r="E18" i="23"/>
  <c r="F18" i="23"/>
  <c r="I18" i="23"/>
  <c r="J18" i="23" s="1"/>
  <c r="E25" i="27"/>
  <c r="G25" i="27"/>
  <c r="I25" i="27"/>
  <c r="L25" i="27"/>
  <c r="O25" i="27" s="1"/>
  <c r="M25" i="27"/>
  <c r="N25" i="27" s="1"/>
  <c r="J47" i="28"/>
  <c r="D19" i="26"/>
  <c r="D6" i="26"/>
  <c r="D7" i="26"/>
  <c r="D8" i="26"/>
  <c r="D9" i="26"/>
  <c r="D10" i="26"/>
  <c r="D11" i="26"/>
  <c r="D12" i="26"/>
  <c r="D13" i="26"/>
  <c r="D14" i="26"/>
  <c r="D15" i="26"/>
  <c r="D16" i="26"/>
  <c r="D17" i="26"/>
  <c r="Q24" i="28"/>
  <c r="B34" i="28"/>
  <c r="E24" i="27"/>
  <c r="G24" i="27"/>
  <c r="I24" i="27"/>
  <c r="L24" i="27"/>
  <c r="O24" i="27" s="1"/>
  <c r="M24" i="27"/>
  <c r="N24" i="27" s="1"/>
  <c r="E17" i="23"/>
  <c r="I17" i="23"/>
  <c r="J17" i="23" s="1"/>
  <c r="E16" i="23"/>
  <c r="I16" i="23"/>
  <c r="J16" i="23" s="1"/>
  <c r="J15" i="22"/>
  <c r="E23" i="27"/>
  <c r="G23" i="27"/>
  <c r="I23" i="27"/>
  <c r="L23" i="27"/>
  <c r="O23" i="27" s="1"/>
  <c r="M23" i="27"/>
  <c r="N23" i="27" s="1"/>
  <c r="E22" i="27"/>
  <c r="G22" i="27"/>
  <c r="I22" i="27"/>
  <c r="L22" i="27"/>
  <c r="O22" i="27" s="1"/>
  <c r="M22" i="27"/>
  <c r="N22" i="27" s="1"/>
  <c r="E21" i="27"/>
  <c r="G21" i="27"/>
  <c r="I21" i="27"/>
  <c r="L21" i="27"/>
  <c r="O21" i="27" s="1"/>
  <c r="M21" i="27"/>
  <c r="N21" i="27" s="1"/>
  <c r="D34" i="28" l="1"/>
  <c r="C17" i="28" s="1"/>
  <c r="R2" i="27"/>
  <c r="L7" i="27"/>
  <c r="O7" i="27" s="1"/>
  <c r="I5" i="23"/>
  <c r="J5" i="23" s="1"/>
  <c r="M5" i="27"/>
  <c r="N5" i="27" s="1"/>
  <c r="M6" i="27"/>
  <c r="N6" i="27" s="1"/>
  <c r="M7" i="27"/>
  <c r="N7" i="27" s="1"/>
  <c r="M8" i="27"/>
  <c r="N8" i="27" s="1"/>
  <c r="M9" i="27"/>
  <c r="N9" i="27" s="1"/>
  <c r="M10" i="27"/>
  <c r="N10" i="27" s="1"/>
  <c r="M11" i="27"/>
  <c r="N11" i="27" s="1"/>
  <c r="M12" i="27"/>
  <c r="N12" i="27" s="1"/>
  <c r="M13" i="27"/>
  <c r="N13" i="27" s="1"/>
  <c r="M14" i="27"/>
  <c r="N14" i="27" s="1"/>
  <c r="M15" i="27"/>
  <c r="N15" i="27" s="1"/>
  <c r="M16" i="27"/>
  <c r="N16" i="27" s="1"/>
  <c r="M17" i="27"/>
  <c r="N17" i="27" s="1"/>
  <c r="M18" i="27"/>
  <c r="N18" i="27" s="1"/>
  <c r="M19" i="27"/>
  <c r="N19" i="27" s="1"/>
  <c r="M20" i="27"/>
  <c r="N20" i="27" s="1"/>
  <c r="L5" i="27"/>
  <c r="O5" i="27" s="1"/>
  <c r="L6" i="27"/>
  <c r="O6" i="27" s="1"/>
  <c r="L8" i="27"/>
  <c r="O8" i="27" s="1"/>
  <c r="L9" i="27"/>
  <c r="O9" i="27" s="1"/>
  <c r="L10" i="27"/>
  <c r="O10" i="27" s="1"/>
  <c r="L11" i="27"/>
  <c r="O11" i="27" s="1"/>
  <c r="L12" i="27"/>
  <c r="O12" i="27" s="1"/>
  <c r="L13" i="27"/>
  <c r="O13" i="27" s="1"/>
  <c r="L14" i="27"/>
  <c r="O14" i="27" s="1"/>
  <c r="L15" i="27"/>
  <c r="O15" i="27" s="1"/>
  <c r="L16" i="27"/>
  <c r="O16" i="27" s="1"/>
  <c r="L17" i="27"/>
  <c r="O17" i="27" s="1"/>
  <c r="L18" i="27"/>
  <c r="O18" i="27" s="1"/>
  <c r="L19" i="27"/>
  <c r="O19" i="27" s="1"/>
  <c r="L20" i="27"/>
  <c r="O20" i="27" s="1"/>
  <c r="E18" i="27"/>
  <c r="M13" i="23"/>
  <c r="E6" i="26"/>
  <c r="E7" i="26"/>
  <c r="E8" i="26"/>
  <c r="E9" i="26"/>
  <c r="E10" i="26"/>
  <c r="E11" i="26"/>
  <c r="E12" i="26"/>
  <c r="E13" i="26"/>
  <c r="E14" i="26"/>
  <c r="E15" i="26"/>
  <c r="E16" i="26"/>
  <c r="E17" i="26"/>
  <c r="E18" i="26"/>
  <c r="E19" i="26"/>
  <c r="E5" i="23"/>
  <c r="I5" i="27"/>
  <c r="I6" i="27"/>
  <c r="I7" i="27"/>
  <c r="I8" i="27"/>
  <c r="I9" i="27"/>
  <c r="I10" i="27"/>
  <c r="I11" i="27"/>
  <c r="I12" i="27"/>
  <c r="I13" i="27"/>
  <c r="I14" i="27"/>
  <c r="I15" i="27"/>
  <c r="I16" i="27"/>
  <c r="I17" i="27"/>
  <c r="I18" i="27"/>
  <c r="I19" i="27"/>
  <c r="I20" i="27"/>
  <c r="J11" i="21"/>
  <c r="E6" i="27"/>
  <c r="E7" i="27"/>
  <c r="E8" i="27"/>
  <c r="E9" i="27"/>
  <c r="E10" i="27"/>
  <c r="E11" i="27"/>
  <c r="E12" i="27"/>
  <c r="E13" i="27"/>
  <c r="E14" i="27"/>
  <c r="E15" i="27"/>
  <c r="E16" i="27"/>
  <c r="E17" i="27"/>
  <c r="E19" i="27"/>
  <c r="E20" i="27"/>
  <c r="E5" i="27"/>
  <c r="E15" i="23"/>
  <c r="I15" i="23"/>
  <c r="J15" i="23" s="1"/>
  <c r="E13" i="23"/>
  <c r="E14" i="23"/>
  <c r="F13" i="23"/>
  <c r="F14" i="23"/>
  <c r="I13" i="23"/>
  <c r="I14" i="23"/>
  <c r="J14" i="23" s="1"/>
  <c r="F5" i="23"/>
  <c r="E6" i="23"/>
  <c r="F6" i="23"/>
  <c r="I6" i="23"/>
  <c r="J6" i="23" s="1"/>
  <c r="E7" i="23"/>
  <c r="F7" i="23"/>
  <c r="I7" i="23"/>
  <c r="J7" i="23" s="1"/>
  <c r="E8" i="23"/>
  <c r="F8" i="23"/>
  <c r="I8" i="23"/>
  <c r="J8" i="23" s="1"/>
  <c r="E9" i="23"/>
  <c r="F9" i="23"/>
  <c r="I9" i="23"/>
  <c r="E10" i="23"/>
  <c r="F10" i="23"/>
  <c r="I10" i="23"/>
  <c r="J10" i="23" s="1"/>
  <c r="E11" i="23"/>
  <c r="F11" i="23"/>
  <c r="I11" i="23"/>
  <c r="J11" i="23" s="1"/>
  <c r="E12" i="23"/>
  <c r="F12" i="23"/>
  <c r="I12" i="23"/>
  <c r="J12" i="23" s="1"/>
  <c r="G5" i="27"/>
  <c r="G6" i="27"/>
  <c r="G7" i="27"/>
  <c r="G8" i="27"/>
  <c r="G9" i="27"/>
  <c r="G10" i="27"/>
  <c r="G11" i="27"/>
  <c r="G12" i="27"/>
  <c r="G13" i="27"/>
  <c r="G14" i="27"/>
  <c r="G15" i="27"/>
  <c r="G16" i="27"/>
  <c r="G17" i="27"/>
  <c r="G18" i="27"/>
  <c r="G19" i="27"/>
  <c r="G20" i="27"/>
  <c r="E5" i="26"/>
  <c r="E5" i="25"/>
  <c r="E6" i="25"/>
  <c r="E7" i="25"/>
  <c r="E8" i="25"/>
  <c r="E9" i="25"/>
  <c r="E10" i="25"/>
  <c r="E11" i="25"/>
  <c r="E12" i="25"/>
  <c r="E13" i="25"/>
  <c r="E14" i="25"/>
  <c r="E15" i="25"/>
  <c r="E16" i="25"/>
  <c r="E17" i="25"/>
  <c r="E18" i="25"/>
  <c r="F6" i="26"/>
  <c r="F7" i="26"/>
  <c r="F8" i="26"/>
  <c r="F9" i="26"/>
  <c r="F10" i="26"/>
  <c r="F11" i="26"/>
  <c r="F12" i="26"/>
  <c r="F13" i="26"/>
  <c r="F14" i="26"/>
  <c r="F16" i="26"/>
  <c r="F17" i="26"/>
  <c r="F18" i="26"/>
  <c r="F19" i="26"/>
  <c r="F5" i="26"/>
  <c r="D5" i="26"/>
  <c r="C4" i="28"/>
  <c r="C9" i="28"/>
  <c r="C13" i="28"/>
  <c r="H15" i="26" l="1"/>
  <c r="G15" i="26"/>
  <c r="G11" i="26"/>
  <c r="G12" i="26"/>
  <c r="M5" i="26"/>
  <c r="G20" i="26"/>
  <c r="H20" i="26"/>
  <c r="G13" i="26"/>
  <c r="G19" i="26"/>
  <c r="H13" i="26"/>
  <c r="H11" i="26"/>
  <c r="G5" i="26"/>
  <c r="G7" i="26"/>
  <c r="G8" i="26"/>
  <c r="J9" i="23"/>
  <c r="H5" i="26"/>
  <c r="H17" i="26"/>
  <c r="H7" i="26"/>
  <c r="H16" i="26"/>
  <c r="H12" i="26"/>
  <c r="H8" i="26"/>
  <c r="H19" i="26"/>
  <c r="H6" i="26"/>
  <c r="H9" i="26"/>
  <c r="H18" i="26"/>
  <c r="H14" i="26"/>
  <c r="H10" i="26"/>
  <c r="I15" i="26" l="1"/>
  <c r="K15" i="26" s="1"/>
  <c r="I11" i="26"/>
  <c r="K11" i="26" s="1"/>
  <c r="I20" i="26"/>
  <c r="K20" i="26" s="1"/>
  <c r="I13" i="26"/>
  <c r="K13" i="26" s="1"/>
  <c r="I7" i="26"/>
  <c r="K7" i="26" s="1"/>
  <c r="I5" i="26"/>
  <c r="K5" i="26" s="1"/>
  <c r="G9" i="26"/>
  <c r="I9" i="26" s="1"/>
  <c r="K9" i="26" s="1"/>
  <c r="G17" i="26"/>
  <c r="I17" i="26" s="1"/>
  <c r="K17" i="26" s="1"/>
  <c r="G6" i="26"/>
  <c r="I6" i="26" s="1"/>
  <c r="K6" i="26" s="1"/>
  <c r="G10" i="26"/>
  <c r="I10" i="26" s="1"/>
  <c r="K10" i="26" s="1"/>
  <c r="G14" i="26"/>
  <c r="I14" i="26" s="1"/>
  <c r="K14" i="26" s="1"/>
  <c r="G18" i="26"/>
  <c r="I18" i="26" s="1"/>
  <c r="K18" i="26" s="1"/>
  <c r="I12" i="26"/>
  <c r="K12" i="26" s="1"/>
  <c r="I19" i="26"/>
  <c r="K19" i="26" s="1"/>
  <c r="I8" i="26"/>
  <c r="K8" i="26" s="1"/>
  <c r="G16" i="26"/>
  <c r="I16" i="26" s="1"/>
  <c r="K16" i="26" s="1"/>
  <c r="J25" i="27" l="1"/>
  <c r="J20" i="26"/>
  <c r="J24" i="27"/>
  <c r="J23" i="27"/>
  <c r="J22" i="27"/>
  <c r="J5" i="27"/>
  <c r="J21" i="27"/>
  <c r="J12" i="27"/>
  <c r="J17" i="27"/>
  <c r="J5" i="26"/>
  <c r="J14" i="27"/>
  <c r="J9" i="27"/>
  <c r="J11" i="27"/>
  <c r="J13" i="27"/>
  <c r="J10" i="27"/>
  <c r="J7" i="27"/>
  <c r="J8" i="27"/>
  <c r="J16" i="27"/>
  <c r="J18" i="27"/>
  <c r="J15" i="27"/>
  <c r="J6" i="27"/>
  <c r="J19" i="27"/>
  <c r="J19" i="26"/>
  <c r="J18" i="26"/>
  <c r="J17" i="26"/>
  <c r="J9" i="26"/>
  <c r="J16" i="26"/>
  <c r="J11" i="26"/>
  <c r="J14" i="26"/>
  <c r="J13" i="26"/>
  <c r="J8" i="26"/>
  <c r="J7" i="26"/>
  <c r="J10" i="26"/>
  <c r="J15" i="26"/>
  <c r="J12" i="26"/>
  <c r="J6" i="26"/>
  <c r="J23" i="1" l="1" a="1"/>
  <c r="J23" i="1" s="1"/>
  <c r="J24" i="1" a="1"/>
  <c r="J24" i="1" s="1"/>
  <c r="J27" i="1" a="1"/>
  <c r="J27" i="1" s="1"/>
  <c r="J26" i="1" a="1"/>
  <c r="J26" i="1" s="1"/>
  <c r="J25" i="1" a="1"/>
  <c r="J25" i="1" s="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<sst xmlns="http://schemas.openxmlformats.org/spreadsheetml/2006/main" count="298" uniqueCount="165">
  <si>
    <t xml:space="preserve"> </t>
  </si>
  <si>
    <t>Cust_ID</t>
  </si>
  <si>
    <t>Name</t>
  </si>
  <si>
    <t>Email</t>
  </si>
  <si>
    <t>Address</t>
  </si>
  <si>
    <t>Mobile</t>
  </si>
  <si>
    <t>Ram sales</t>
  </si>
  <si>
    <t>Ram@gmail.com</t>
  </si>
  <si>
    <t>Delhi, India</t>
  </si>
  <si>
    <t>MK Tech.</t>
  </si>
  <si>
    <t>MK @gmail.com</t>
  </si>
  <si>
    <t>Faridabad, 121101</t>
  </si>
  <si>
    <t>99store</t>
  </si>
  <si>
    <t>99s@gmail.com</t>
  </si>
  <si>
    <t>Agra, UP</t>
  </si>
  <si>
    <t>Rajesh Kumar</t>
  </si>
  <si>
    <t>Raj@gmail.com</t>
  </si>
  <si>
    <t>New Delhi, 110011</t>
  </si>
  <si>
    <t xml:space="preserve">Amit </t>
  </si>
  <si>
    <t>Ami@gmail.com</t>
  </si>
  <si>
    <t>Gurgaon, Sec-15</t>
  </si>
  <si>
    <t>Jain Tel.</t>
  </si>
  <si>
    <t>Jai@gmail.com</t>
  </si>
  <si>
    <t>Janpath, New Delhi</t>
  </si>
  <si>
    <t>krishna</t>
  </si>
  <si>
    <t>kri12@g,mai.com</t>
  </si>
  <si>
    <t>ed</t>
  </si>
  <si>
    <t>scd</t>
  </si>
  <si>
    <t>xwfcdenh</t>
  </si>
  <si>
    <t>hwefi</t>
  </si>
  <si>
    <t>csdcsd</t>
  </si>
  <si>
    <t>fcvefve</t>
  </si>
  <si>
    <t>rgbgt</t>
  </si>
  <si>
    <t>rishna</t>
  </si>
  <si>
    <t>efegrve</t>
  </si>
  <si>
    <t>fcefwercfwer</t>
  </si>
  <si>
    <t>haariom</t>
  </si>
  <si>
    <t>krishnabhushak9087@gmail.com</t>
  </si>
  <si>
    <t>mumbaii nahur</t>
  </si>
  <si>
    <t>omsia</t>
  </si>
  <si>
    <t>om23@gmail.com</t>
  </si>
  <si>
    <t>nahur</t>
  </si>
  <si>
    <t>kri22@gmail.com</t>
  </si>
  <si>
    <t>mumbau</t>
  </si>
  <si>
    <t>hii</t>
  </si>
  <si>
    <t>kidckj@jff</t>
  </si>
  <si>
    <t>lcsdcfcmf</t>
  </si>
  <si>
    <t>cknd</t>
  </si>
  <si>
    <t>p1</t>
  </si>
  <si>
    <t>p8</t>
  </si>
  <si>
    <t>p10</t>
  </si>
  <si>
    <t>Count of Name</t>
  </si>
  <si>
    <t>customer</t>
  </si>
  <si>
    <t>Row Labels</t>
  </si>
  <si>
    <t>2024</t>
  </si>
  <si>
    <t>2025</t>
  </si>
  <si>
    <t>Grand Total</t>
  </si>
  <si>
    <t>p2</t>
  </si>
  <si>
    <t>Count of Product Name</t>
  </si>
  <si>
    <t>product</t>
  </si>
  <si>
    <t>p3</t>
  </si>
  <si>
    <t>Sum of Amount</t>
  </si>
  <si>
    <t>purchase amt</t>
  </si>
  <si>
    <t>sale amt</t>
  </si>
  <si>
    <t>p7</t>
  </si>
  <si>
    <t>Sum of Sales Amount</t>
  </si>
  <si>
    <t>p9</t>
  </si>
  <si>
    <t>Laptop HP xyz i5</t>
  </si>
  <si>
    <t>Camera</t>
  </si>
  <si>
    <t>Tablets</t>
  </si>
  <si>
    <t>Product Name</t>
  </si>
  <si>
    <t>Remaining Stock</t>
  </si>
  <si>
    <t>Sum of Stock Amt.</t>
  </si>
  <si>
    <t>Desktop</t>
  </si>
  <si>
    <t>Earphone</t>
  </si>
  <si>
    <t>Headphones</t>
  </si>
  <si>
    <t>Mouse</t>
  </si>
  <si>
    <t>Rgb Keyboard</t>
  </si>
  <si>
    <t>difference p/l</t>
  </si>
  <si>
    <t>D</t>
  </si>
  <si>
    <t>Smart Watch</t>
  </si>
  <si>
    <t>Speakers</t>
  </si>
  <si>
    <t>Sum of Purchse amount</t>
  </si>
  <si>
    <t>profit/per prod</t>
  </si>
  <si>
    <t>Sales</t>
  </si>
  <si>
    <t>Wireless Printer</t>
  </si>
  <si>
    <t>Wireless charge</t>
  </si>
  <si>
    <t>pc</t>
  </si>
  <si>
    <t>ElectricFan</t>
  </si>
  <si>
    <t>Fan</t>
  </si>
  <si>
    <t>Average of Purchse amount</t>
  </si>
  <si>
    <t>Average of Sales Amount</t>
  </si>
  <si>
    <t>avg p/l</t>
  </si>
  <si>
    <t>Jan</t>
  </si>
  <si>
    <t>Mar</t>
  </si>
  <si>
    <t>Apr</t>
  </si>
  <si>
    <t>May</t>
  </si>
  <si>
    <t>Jul</t>
  </si>
  <si>
    <t>Aug</t>
  </si>
  <si>
    <t>Sep</t>
  </si>
  <si>
    <t>Oct</t>
  </si>
  <si>
    <t>Dec</t>
  </si>
  <si>
    <t>HSN Code</t>
  </si>
  <si>
    <t>Cost</t>
  </si>
  <si>
    <t>Selling Price</t>
  </si>
  <si>
    <t>N1001</t>
  </si>
  <si>
    <t>N1002</t>
  </si>
  <si>
    <t>N1003</t>
  </si>
  <si>
    <t>N1004</t>
  </si>
  <si>
    <t>N1005</t>
  </si>
  <si>
    <t>N1006</t>
  </si>
  <si>
    <t>N1007</t>
  </si>
  <si>
    <t>N1008</t>
  </si>
  <si>
    <t>N1009</t>
  </si>
  <si>
    <t>N1010</t>
  </si>
  <si>
    <t>N1011</t>
  </si>
  <si>
    <t>mouse</t>
  </si>
  <si>
    <t>N1012</t>
  </si>
  <si>
    <t>N1013</t>
  </si>
  <si>
    <t>N1014</t>
  </si>
  <si>
    <t>N1015</t>
  </si>
  <si>
    <t>N1016</t>
  </si>
  <si>
    <t>earbud</t>
  </si>
  <si>
    <t>Vendor</t>
  </si>
  <si>
    <t>Date</t>
  </si>
  <si>
    <t>Units</t>
  </si>
  <si>
    <t>Amount</t>
  </si>
  <si>
    <t>13/5/2025</t>
  </si>
  <si>
    <t>15/5/2025</t>
  </si>
  <si>
    <t>23/6/2025</t>
  </si>
  <si>
    <t>25/6/2025</t>
  </si>
  <si>
    <t>Tech99</t>
  </si>
  <si>
    <t>Xyz</t>
  </si>
  <si>
    <t>GG Traders</t>
  </si>
  <si>
    <t>deasi</t>
  </si>
  <si>
    <t>Purchase Entry</t>
  </si>
  <si>
    <t>Sales Entry</t>
  </si>
  <si>
    <t>P Units</t>
  </si>
  <si>
    <t>S Units</t>
  </si>
  <si>
    <t>Stock</t>
  </si>
  <si>
    <t>Stock Amt.</t>
  </si>
  <si>
    <t>notifications</t>
  </si>
  <si>
    <t>Vendor Name</t>
  </si>
  <si>
    <t>Phone</t>
  </si>
  <si>
    <t>9812xxxxxx</t>
  </si>
  <si>
    <t>Faridabad, 121102</t>
  </si>
  <si>
    <t>Faridabad, 121103</t>
  </si>
  <si>
    <t>9813xxxxxx</t>
  </si>
  <si>
    <t>Gurgaon, Sec-16</t>
  </si>
  <si>
    <t>Gurgaon, Sec-17</t>
  </si>
  <si>
    <t>Gurgaon, Sec-18</t>
  </si>
  <si>
    <t>Compac</t>
  </si>
  <si>
    <t>9814xxxxxx</t>
  </si>
  <si>
    <t>New Delhi, 110012</t>
  </si>
  <si>
    <t>New Delhi, 110013</t>
  </si>
  <si>
    <t>New Delhi, 110014</t>
  </si>
  <si>
    <t>98000xxxxx</t>
  </si>
  <si>
    <t>Pune,212332</t>
  </si>
  <si>
    <t>Cust_Name</t>
  </si>
  <si>
    <t>Year</t>
  </si>
  <si>
    <t>Stock(Units)</t>
  </si>
  <si>
    <t>Cost price</t>
  </si>
  <si>
    <t>Sales Amount</t>
  </si>
  <si>
    <t>Purchse amount</t>
  </si>
  <si>
    <t>Stock Notificaation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</si>
</sst>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2" formatCode="_ &quot;₹&quot;\ * #,##0_ ;_ &quot;₹&quot;\ * \-#,##0_ ;_ &quot;₹&quot;\ * &quot;-&quot;_ ;_ @_ "/>
    <numFmt numFmtId="164" formatCode="&quot;₹&quot;\ #,##0"/>
    <numFmt numFmtId="165" formatCode="0.0"/>
    <numFmt numFmtId="166" formatCode="yyyy\-mm\-dd;@"/>
    <numFmt numFmtId="167" formatCode="[$₹-861]\ #,##0.00"/>
    <numFmt numFmtId="168" formatCode="_-[$₹-861]\ * #,##0.00_-;\-[$₹-861]\ * #,##0.00_-;_-[$₹-861]\ * &quot;-&quot;??_-;_-@_-"/>
  </numFmts>
  <fonts count="13" x14ac:knownFonts="1">
    <font>
      <sz val="11"/>
      <color theme="1"/>
      <name val="Calibri"/>
      <family val="2"/>
      <scheme val="minor"/>
    </font>
    <font>
      <u/>
      <sz val="11"/>
      <color theme="10"/>
      <name val="Calibri"/>
      <family val="2"/>
      <scheme val="minor"/>
    </font>
    <font>
      <sz val="16"/>
      <color theme="1"/>
      <name val="Calibri"/>
      <family val="2"/>
      <scheme val="minor"/>
    </font>
    <font>
      <b/>
      <sz val="14"/>
      <color theme="1"/>
      <name val="Calibri"/>
      <family val="2"/>
      <scheme val="minor"/>
    </font>
    <font>
      <sz val="8"/>
      <name val="Calibri"/>
      <family val="2"/>
      <scheme val="minor"/>
    </font>
    <font>
      <sz val="16"/>
      <color theme="0"/>
      <name val="Calibri"/>
      <family val="2"/>
      <scheme val="minor"/>
    </font>
    <font>
      <sz val="11"/>
      <color theme="1" tint="0.14999847407452621"/>
      <name val="Calibri"/>
      <family val="2"/>
      <scheme val="minor"/>
    </font>
    <font>
      <sz val="20"/>
      <color theme="1"/>
      <name val="Calibri"/>
      <family val="2"/>
      <scheme val="minor"/>
    </font>
    <font>
      <b/>
      <sz val="20"/>
      <color theme="0"/>
      <name val="Calibri"/>
      <family val="2"/>
      <scheme val="minor"/>
    </font>
    <font>
      <b/>
      <sz val="14"/>
      <color rgb="FF000000"/>
      <name val="Calibri"/>
      <family val="2"/>
    </font>
    <font>
      <sz val="12"/>
      <color theme="0"/>
      <name val="Calibri"/>
      <family val="2"/>
      <scheme val="minor"/>
    </font>
    <font>
      <sz val="18"/>
      <color theme="0"/>
      <name val="Calibri"/>
      <family val="2"/>
      <scheme val="minor"/>
    </font>
    <font>
      <sz val="12"/>
      <color rgb="FF339966"/>
      <name val="Calibri"/>
      <family val="2"/>
    </font>
  </fonts>
  <fills count="4">
    <fill>
      <patternFill patternType="none"/>
    </fill>
    <fill>
      <patternFill patternType="gray125"/>
    </fill>
    <fill>
      <patternFill patternType="solid">
        <fgColor rgb="FF00B0F0"/>
        <bgColor indexed="64"/>
      </patternFill>
    </fill>
    <fill>
      <patternFill patternType="solid">
        <fgColor rgb="FF002060"/>
        <bgColor indexed="64"/>
      </patternFill>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37">
    <xf numFmtId="0" fontId="0" fillId="0" borderId="0" xfId="0"/>
    <xf numFmtId="0" fontId="0" fillId="0" borderId="0" xfId="0" pivotButton="1"/>
    <xf numFmtId="0" fontId="0" fillId="0" borderId="0" xfId="0" applyAlignment="1">
      <alignment horizontal="left"/>
    </xf>
    <xf numFmtId="0" fontId="6" fillId="2" borderId="0" xfId="0" applyFont="1" applyFill="1"/>
    <xf numFmtId="0" fontId="0" fillId="2" borderId="0" xfId="0" applyFill="1"/>
    <xf numFmtId="0" fontId="2" fillId="2" borderId="0" xfId="0" applyFont="1" applyFill="1"/>
    <xf numFmtId="0" fontId="3" fillId="2" borderId="0" xfId="0" applyFont="1" applyFill="1" applyAlignment="1">
      <alignment horizontal="left" vertical="center"/>
    </xf>
    <xf numFmtId="0" fontId="5" fillId="3" borderId="0" xfId="0" applyFont="1" applyFill="1" applyAlignment="1">
      <alignment vertical="center" wrapText="1"/>
    </xf>
    <xf numFmtId="0" fontId="2" fillId="2" borderId="0" xfId="0" applyFont="1" applyFill="1" applyAlignment="1">
      <alignment vertical="center" wrapText="1"/>
    </xf>
    <xf numFmtId="42" fontId="2" fillId="2" borderId="0" xfId="0" applyNumberFormat="1" applyFont="1" applyFill="1" applyAlignment="1">
      <alignment vertical="center" wrapText="1"/>
    </xf>
    <xf numFmtId="14" fontId="2" fillId="2" borderId="0" xfId="0" applyNumberFormat="1" applyFont="1" applyFill="1" applyAlignment="1">
      <alignment vertical="center" wrapText="1"/>
    </xf>
    <xf numFmtId="164" fontId="2" fillId="2" borderId="0" xfId="0" applyNumberFormat="1" applyFont="1" applyFill="1" applyAlignment="1">
      <alignment vertical="center" wrapText="1"/>
    </xf>
    <xf numFmtId="0" fontId="7" fillId="2" borderId="0" xfId="0" applyFont="1" applyFill="1"/>
    <xf numFmtId="0" fontId="8" fillId="3" borderId="0" xfId="1" applyFont="1" applyFill="1" applyAlignment="1">
      <alignment horizontal="left" vertical="center"/>
    </xf>
    <xf numFmtId="0" fontId="2" fillId="3" borderId="0" xfId="0" applyFont="1" applyFill="1" applyAlignment="1">
      <alignment horizontal="left" vertical="center" wrapText="1"/>
    </xf>
    <xf numFmtId="0" fontId="2" fillId="3" borderId="0" xfId="0" applyFont="1" applyFill="1" applyAlignment="1">
      <alignment vertical="center" wrapText="1"/>
    </xf>
    <xf numFmtId="0" fontId="2" fillId="2" borderId="0" xfId="0" applyFont="1" applyFill="1" applyAlignment="1">
      <alignment horizontal="left" vertical="center" wrapText="1"/>
    </xf>
    <xf numFmtId="0" fontId="2" fillId="2" borderId="0" xfId="1" applyFont="1" applyFill="1" applyAlignment="1">
      <alignment vertical="center" wrapText="1"/>
    </xf>
    <xf numFmtId="0" fontId="5" fillId="3" borderId="0" xfId="0" applyFont="1" applyFill="1" applyAlignment="1">
      <alignment horizontal="left" vertical="top"/>
    </xf>
    <xf numFmtId="14" fontId="5" fillId="3" borderId="0" xfId="0" applyNumberFormat="1" applyFont="1" applyFill="1" applyAlignment="1">
      <alignment horizontal="left" vertical="top"/>
    </xf>
    <xf numFmtId="0" fontId="2" fillId="2" borderId="0" xfId="0" applyFont="1" applyFill="1" applyAlignment="1">
      <alignment horizontal="left" vertical="top"/>
    </xf>
    <xf numFmtId="14" fontId="2" fillId="2" borderId="0" xfId="0" applyNumberFormat="1" applyFont="1" applyFill="1" applyAlignment="1">
      <alignment horizontal="left" vertical="top"/>
    </xf>
    <xf numFmtId="0" fontId="0" fillId="0" borderId="0" xfId="0" applyAlignment="1">
      <alignment wrapText="1"/>
    </xf>
    <xf numFmtId="1" fontId="0" fillId="0" borderId="0" xfId="0" applyNumberFormat="1"/>
    <xf numFmtId="165" fontId="0" fillId="0" borderId="0" xfId="0" applyNumberFormat="1"/>
    <xf numFmtId="166" fontId="5" fillId="3" borderId="0" xfId="0" applyNumberFormat="1" applyFont="1" applyFill="1" applyAlignment="1">
      <alignment horizontal="left" vertical="top"/>
    </xf>
    <xf numFmtId="166" fontId="2" fillId="2" borderId="0" xfId="0" applyNumberFormat="1" applyFont="1" applyFill="1" applyAlignment="1">
      <alignment horizontal="left" vertical="top"/>
    </xf>
    <xf numFmtId="166" fontId="0" fillId="2" borderId="0" xfId="0" applyNumberFormat="1" applyFill="1"/>
    <xf numFmtId="167" fontId="5" fillId="3" borderId="0" xfId="0" applyNumberFormat="1" applyFont="1" applyFill="1" applyAlignment="1">
      <alignment horizontal="left" vertical="top"/>
    </xf>
    <xf numFmtId="167" fontId="2" fillId="2" borderId="0" xfId="0" applyNumberFormat="1" applyFont="1" applyFill="1" applyAlignment="1">
      <alignment horizontal="left" vertical="top"/>
    </xf>
    <xf numFmtId="167" fontId="0" fillId="2" borderId="0" xfId="0" applyNumberFormat="1" applyFill="1"/>
    <xf numFmtId="168" fontId="2" fillId="2" borderId="0" xfId="0" applyNumberFormat="1" applyFont="1" applyFill="1" applyAlignment="1">
      <alignment horizontal="left" vertical="top"/>
    </xf>
    <xf numFmtId="168" fontId="0" fillId="2" borderId="0" xfId="0" applyNumberFormat="1" applyFill="1"/>
    <xf numFmtId="0" fontId="0" fillId="3" borderId="0" xfId="0" applyFill="1"/>
    <xf numFmtId="0" fontId="10" fillId="3" borderId="0" xfId="0" applyFont="1" applyFill="1"/>
    <xf numFmtId="0" fontId="11" fillId="3" borderId="0" xfId="0" applyFont="1" applyFill="1" applyAlignment="1">
      <alignment horizontal="center" vertical="center"/>
    </xf>
    <xf numFmtId="0" fontId="0" fillId="0" borderId="0" xfId="0" applyNumberFormat="1"/>
  </cellXfs>
  <cellStyles count="2">
    <cellStyle name="Hyperlink" xfId="1" builtinId="8"/>
    <cellStyle name="Normal" xfId="0" builtinId="0"/>
  </cellStyles>
  <dxfs count="67">
    <dxf>
      <font>
        <b val="0"/>
        <i val="0"/>
        <strike val="0"/>
        <condense val="0"/>
        <extend val="0"/>
        <outline val="0"/>
        <shadow val="0"/>
        <u val="none"/>
        <vertAlign val="baseline"/>
        <sz val="16"/>
        <color theme="1"/>
        <name val="Calibri"/>
        <family val="2"/>
        <scheme val="minor"/>
      </font>
      <fill>
        <patternFill patternType="solid">
          <fgColor indexed="64"/>
          <bgColor rgb="FF00B0F0"/>
        </patternFill>
      </fill>
    </dxf>
    <dxf>
      <font>
        <strike val="0"/>
        <outline val="0"/>
        <shadow val="0"/>
        <u val="none"/>
        <vertAlign val="baseline"/>
        <sz val="16"/>
        <color theme="1"/>
        <name val="Calibri"/>
        <family val="2"/>
        <scheme val="minor"/>
      </font>
      <numFmt numFmtId="168" formatCode="_-[$₹-861]\ * #,##0.00_-;\-[$₹-861]\ * #,##0.00_-;_-[$₹-861]\ * &quot;-&quot;??_-;_-@_-"/>
      <fill>
        <patternFill patternType="solid">
          <fgColor indexed="64"/>
          <bgColor rgb="FF00B0F0"/>
        </patternFill>
      </fill>
      <alignment horizontal="left" vertical="top" textRotation="0" wrapText="0" indent="0" justifyLastLine="0" shrinkToFit="0" readingOrder="0"/>
    </dxf>
    <dxf>
      <font>
        <b val="0"/>
        <i val="0"/>
        <strike val="0"/>
        <condense val="0"/>
        <extend val="0"/>
        <outline val="0"/>
        <shadow val="0"/>
        <u val="none"/>
        <vertAlign val="baseline"/>
        <sz val="16"/>
        <color theme="1"/>
        <name val="Calibri"/>
        <family val="2"/>
        <scheme val="minor"/>
      </font>
      <numFmt numFmtId="32" formatCode="_ &quot;₹&quot;\ * #,##0_ ;_ &quot;₹&quot;\ * \-#,##0_ ;_ &quot;₹&quot;\ * &quot;-&quot;_ ;_ @_ "/>
      <fill>
        <patternFill patternType="solid">
          <fgColor indexed="64"/>
          <bgColor rgb="FF00B0F0"/>
        </patternFill>
      </fill>
    </dxf>
    <dxf>
      <font>
        <strike val="0"/>
        <outline val="0"/>
        <shadow val="0"/>
        <u val="none"/>
        <vertAlign val="baseline"/>
        <sz val="16"/>
        <color theme="1"/>
        <name val="Calibri"/>
        <family val="2"/>
        <scheme val="minor"/>
      </font>
      <numFmt numFmtId="167" formatCode="[$₹-861]\ #,##0.00"/>
      <fill>
        <patternFill patternType="solid">
          <fgColor indexed="64"/>
          <bgColor rgb="FF00B0F0"/>
        </patternFill>
      </fill>
      <alignment horizontal="left" vertical="top" textRotation="0" wrapText="0" indent="0" justifyLastLine="0" shrinkToFit="0" readingOrder="0"/>
    </dxf>
    <dxf>
      <font>
        <b val="0"/>
        <i val="0"/>
        <strike val="0"/>
        <condense val="0"/>
        <extend val="0"/>
        <outline val="0"/>
        <shadow val="0"/>
        <u val="none"/>
        <vertAlign val="baseline"/>
        <sz val="16"/>
        <color theme="1"/>
        <name val="Calibri"/>
        <family val="2"/>
        <scheme val="minor"/>
      </font>
      <fill>
        <patternFill patternType="solid">
          <fgColor indexed="64"/>
          <bgColor rgb="FF00B0F0"/>
        </patternFill>
      </fill>
    </dxf>
    <dxf>
      <font>
        <strike val="0"/>
        <outline val="0"/>
        <shadow val="0"/>
        <u val="none"/>
        <vertAlign val="baseline"/>
        <sz val="16"/>
        <color theme="1"/>
        <name val="Calibri"/>
        <family val="2"/>
        <scheme val="minor"/>
      </font>
      <numFmt numFmtId="0" formatCode="General"/>
      <fill>
        <patternFill patternType="solid">
          <fgColor indexed="64"/>
          <bgColor rgb="FF00B0F0"/>
        </patternFill>
      </fill>
      <alignment horizontal="left" vertical="top" textRotation="0" wrapText="0" indent="0" justifyLastLine="0" shrinkToFit="0" readingOrder="0"/>
    </dxf>
    <dxf>
      <font>
        <b val="0"/>
        <i val="0"/>
        <strike val="0"/>
        <condense val="0"/>
        <extend val="0"/>
        <outline val="0"/>
        <shadow val="0"/>
        <u val="none"/>
        <vertAlign val="baseline"/>
        <sz val="16"/>
        <color theme="1"/>
        <name val="Calibri"/>
        <family val="2"/>
        <scheme val="minor"/>
      </font>
      <fill>
        <patternFill patternType="solid">
          <fgColor indexed="64"/>
          <bgColor rgb="FF00B0F0"/>
        </patternFill>
      </fill>
    </dxf>
    <dxf>
      <font>
        <b val="0"/>
        <i val="0"/>
        <strike val="0"/>
        <condense val="0"/>
        <extend val="0"/>
        <outline val="0"/>
        <shadow val="0"/>
        <u val="none"/>
        <vertAlign val="baseline"/>
        <sz val="16"/>
        <color theme="1"/>
        <name val="Calibri"/>
        <family val="2"/>
        <scheme val="minor"/>
      </font>
      <numFmt numFmtId="0" formatCode="General"/>
      <fill>
        <patternFill patternType="solid">
          <fgColor indexed="64"/>
          <bgColor rgb="FF00B0F0"/>
        </patternFill>
      </fill>
      <alignment horizontal="left" vertical="top" textRotation="0" wrapText="0" indent="0" justifyLastLine="0" shrinkToFit="0" readingOrder="0"/>
    </dxf>
    <dxf>
      <font>
        <b val="0"/>
        <i val="0"/>
        <strike val="0"/>
        <condense val="0"/>
        <extend val="0"/>
        <outline val="0"/>
        <shadow val="0"/>
        <u val="none"/>
        <vertAlign val="baseline"/>
        <sz val="16"/>
        <color theme="1"/>
        <name val="Calibri"/>
        <family val="2"/>
        <scheme val="minor"/>
      </font>
      <fill>
        <patternFill patternType="solid">
          <fgColor indexed="64"/>
          <bgColor rgb="FF00B0F0"/>
        </patternFill>
      </fill>
    </dxf>
    <dxf>
      <font>
        <strike val="0"/>
        <outline val="0"/>
        <shadow val="0"/>
        <u val="none"/>
        <vertAlign val="baseline"/>
        <sz val="16"/>
        <color theme="1"/>
        <name val="Calibri"/>
        <family val="2"/>
        <scheme val="minor"/>
      </font>
      <fill>
        <patternFill patternType="solid">
          <fgColor indexed="64"/>
          <bgColor rgb="FF00B0F0"/>
        </patternFill>
      </fill>
      <alignment horizontal="left" vertical="top" textRotation="0" wrapText="0" indent="0" justifyLastLine="0" shrinkToFit="0" readingOrder="0"/>
    </dxf>
    <dxf>
      <font>
        <b val="0"/>
        <i val="0"/>
        <strike val="0"/>
        <condense val="0"/>
        <extend val="0"/>
        <outline val="0"/>
        <shadow val="0"/>
        <u val="none"/>
        <vertAlign val="baseline"/>
        <sz val="16"/>
        <color theme="1"/>
        <name val="Calibri"/>
        <family val="2"/>
        <scheme val="minor"/>
      </font>
      <fill>
        <patternFill patternType="solid">
          <fgColor indexed="64"/>
          <bgColor rgb="FF00B0F0"/>
        </patternFill>
      </fill>
    </dxf>
    <dxf>
      <font>
        <strike val="0"/>
        <outline val="0"/>
        <shadow val="0"/>
        <u val="none"/>
        <vertAlign val="baseline"/>
        <sz val="16"/>
        <color theme="1"/>
        <name val="Calibri"/>
        <family val="2"/>
        <scheme val="minor"/>
      </font>
      <numFmt numFmtId="0" formatCode="General"/>
      <fill>
        <patternFill patternType="solid">
          <fgColor indexed="64"/>
          <bgColor rgb="FF00B0F0"/>
        </patternFill>
      </fill>
      <alignment horizontal="left" vertical="top" textRotation="0" wrapText="0" indent="0" justifyLastLine="0" shrinkToFit="0" readingOrder="0"/>
    </dxf>
    <dxf>
      <font>
        <b val="0"/>
        <i val="0"/>
        <strike val="0"/>
        <condense val="0"/>
        <extend val="0"/>
        <outline val="0"/>
        <shadow val="0"/>
        <u val="none"/>
        <vertAlign val="baseline"/>
        <sz val="16"/>
        <color theme="1"/>
        <name val="Calibri"/>
        <family val="2"/>
        <scheme val="minor"/>
      </font>
      <numFmt numFmtId="169" formatCode="mm/dd/yyyy"/>
      <fill>
        <patternFill patternType="solid">
          <fgColor indexed="64"/>
          <bgColor rgb="FF00B0F0"/>
        </patternFill>
      </fill>
    </dxf>
    <dxf>
      <font>
        <b val="0"/>
        <i val="0"/>
        <strike val="0"/>
        <condense val="0"/>
        <extend val="0"/>
        <outline val="0"/>
        <shadow val="0"/>
        <u val="none"/>
        <vertAlign val="baseline"/>
        <sz val="16"/>
        <color theme="1"/>
        <name val="Calibri"/>
        <family val="2"/>
        <scheme val="minor"/>
      </font>
      <numFmt numFmtId="169" formatCode="mm/dd/yyyy"/>
      <fill>
        <patternFill patternType="solid">
          <fgColor indexed="64"/>
          <bgColor rgb="FF00B0F0"/>
        </patternFill>
      </fill>
      <alignment horizontal="left" vertical="top" textRotation="0" wrapText="0" indent="0" justifyLastLine="0" shrinkToFit="0" readingOrder="0"/>
    </dxf>
    <dxf>
      <font>
        <b val="0"/>
        <i val="0"/>
        <strike val="0"/>
        <condense val="0"/>
        <extend val="0"/>
        <outline val="0"/>
        <shadow val="0"/>
        <u val="none"/>
        <vertAlign val="baseline"/>
        <sz val="16"/>
        <color theme="1"/>
        <name val="Calibri"/>
        <family val="2"/>
        <scheme val="minor"/>
      </font>
      <numFmt numFmtId="169" formatCode="mm/dd/yyyy"/>
      <fill>
        <patternFill patternType="solid">
          <fgColor indexed="64"/>
          <bgColor rgb="FF00B0F0"/>
        </patternFill>
      </fill>
    </dxf>
    <dxf>
      <font>
        <strike val="0"/>
        <outline val="0"/>
        <shadow val="0"/>
        <u val="none"/>
        <vertAlign val="baseline"/>
        <sz val="16"/>
        <color theme="1"/>
        <name val="Calibri"/>
        <family val="2"/>
        <scheme val="minor"/>
      </font>
      <numFmt numFmtId="166" formatCode="yyyy\-mm\-dd;@"/>
      <fill>
        <patternFill patternType="solid">
          <fgColor indexed="64"/>
          <bgColor rgb="FF00B0F0"/>
        </patternFill>
      </fill>
      <alignment horizontal="left" vertical="top" textRotation="0" wrapText="0" indent="0" justifyLastLine="0" shrinkToFit="0" readingOrder="0"/>
    </dxf>
    <dxf>
      <font>
        <b val="0"/>
        <i val="0"/>
        <strike val="0"/>
        <condense val="0"/>
        <extend val="0"/>
        <outline val="0"/>
        <shadow val="0"/>
        <u val="none"/>
        <vertAlign val="baseline"/>
        <sz val="16"/>
        <color theme="1"/>
        <name val="Calibri"/>
        <family val="2"/>
        <scheme val="minor"/>
      </font>
      <fill>
        <patternFill patternType="solid">
          <fgColor indexed="64"/>
          <bgColor rgb="FF00B0F0"/>
        </patternFill>
      </fill>
    </dxf>
    <dxf>
      <font>
        <strike val="0"/>
        <outline val="0"/>
        <shadow val="0"/>
        <u val="none"/>
        <vertAlign val="baseline"/>
        <sz val="16"/>
        <color theme="1"/>
        <name val="Calibri"/>
        <family val="2"/>
        <scheme val="minor"/>
      </font>
      <fill>
        <patternFill patternType="solid">
          <fgColor indexed="64"/>
          <bgColor rgb="FF00B0F0"/>
        </patternFill>
      </fill>
      <alignment horizontal="left" vertical="top" textRotation="0" wrapText="0" indent="0" justifyLastLine="0" shrinkToFit="0" readingOrder="0"/>
    </dxf>
    <dxf>
      <font>
        <b val="0"/>
        <i val="0"/>
        <strike val="0"/>
        <condense val="0"/>
        <extend val="0"/>
        <outline val="0"/>
        <shadow val="0"/>
        <u val="none"/>
        <vertAlign val="baseline"/>
        <sz val="16"/>
        <color theme="1"/>
        <name val="Calibri"/>
        <family val="2"/>
        <scheme val="minor"/>
      </font>
      <fill>
        <patternFill patternType="solid">
          <fgColor indexed="64"/>
          <bgColor rgb="FF00B0F0"/>
        </patternFill>
      </fill>
    </dxf>
    <dxf>
      <font>
        <strike val="0"/>
        <outline val="0"/>
        <shadow val="0"/>
        <u val="none"/>
        <vertAlign val="baseline"/>
        <sz val="16"/>
        <color theme="1"/>
        <name val="Calibri"/>
        <family val="2"/>
        <scheme val="minor"/>
      </font>
      <fill>
        <patternFill patternType="solid">
          <fgColor indexed="64"/>
          <bgColor rgb="FF00B0F0"/>
        </patternFill>
      </fill>
      <alignment horizontal="left" vertical="top" textRotation="0" wrapText="0" indent="0" justifyLastLine="0" shrinkToFit="0" readingOrder="0"/>
    </dxf>
    <dxf>
      <font>
        <b val="0"/>
        <i val="0"/>
        <strike val="0"/>
        <condense val="0"/>
        <extend val="0"/>
        <outline val="0"/>
        <shadow val="0"/>
        <u val="none"/>
        <vertAlign val="baseline"/>
        <sz val="16"/>
        <color theme="1"/>
        <name val="Calibri"/>
        <family val="2"/>
        <scheme val="minor"/>
      </font>
      <fill>
        <patternFill patternType="solid">
          <fgColor indexed="64"/>
          <bgColor rgb="FF00B0F0"/>
        </patternFill>
      </fill>
    </dxf>
    <dxf>
      <font>
        <strike val="0"/>
        <outline val="0"/>
        <shadow val="0"/>
        <u val="none"/>
        <vertAlign val="baseline"/>
        <sz val="16"/>
        <color theme="1"/>
        <name val="Calibri"/>
        <family val="2"/>
        <scheme val="minor"/>
      </font>
      <fill>
        <patternFill patternType="solid">
          <fgColor indexed="64"/>
          <bgColor rgb="FF00B0F0"/>
        </patternFill>
      </fill>
      <alignment horizontal="left" vertical="top" textRotation="0" wrapText="0" indent="0" justifyLastLine="0" shrinkToFit="0" readingOrder="0"/>
    </dxf>
    <dxf>
      <font>
        <b val="0"/>
        <i val="0"/>
        <strike val="0"/>
        <condense val="0"/>
        <extend val="0"/>
        <outline val="0"/>
        <shadow val="0"/>
        <u val="none"/>
        <vertAlign val="baseline"/>
        <sz val="16"/>
        <color theme="1"/>
        <name val="Calibri"/>
        <family val="2"/>
        <scheme val="minor"/>
      </font>
      <fill>
        <patternFill patternType="solid">
          <fgColor indexed="64"/>
          <bgColor rgb="FF00B0F0"/>
        </patternFill>
      </fill>
      <alignment horizontal="left" vertical="bottom" textRotation="0" wrapText="0" indent="0" justifyLastLine="0" shrinkToFit="0" readingOrder="0"/>
    </dxf>
    <dxf>
      <font>
        <strike val="0"/>
        <outline val="0"/>
        <shadow val="0"/>
        <u val="none"/>
        <vertAlign val="baseline"/>
        <sz val="16"/>
        <color theme="1"/>
        <name val="Calibri"/>
        <family val="2"/>
        <scheme val="minor"/>
      </font>
      <fill>
        <patternFill patternType="solid">
          <fgColor indexed="64"/>
          <bgColor rgb="FF00B0F0"/>
        </patternFill>
      </fill>
      <alignment horizontal="left" vertical="top" textRotation="0" wrapText="0" indent="0" justifyLastLine="0" shrinkToFit="0" readingOrder="0"/>
    </dxf>
    <dxf>
      <font>
        <strike val="0"/>
        <outline val="0"/>
        <shadow val="0"/>
        <u val="none"/>
        <vertAlign val="baseline"/>
        <sz val="16"/>
        <color theme="1"/>
        <name val="Calibri"/>
        <family val="2"/>
        <scheme val="minor"/>
      </font>
      <fill>
        <patternFill patternType="solid">
          <fgColor indexed="64"/>
          <bgColor rgb="FF00B0F0"/>
        </patternFill>
      </fill>
      <alignment horizontal="left" vertical="top" textRotation="0" wrapText="0" indent="0" justifyLastLine="0" shrinkToFit="0" readingOrder="0"/>
    </dxf>
    <dxf>
      <font>
        <b val="0"/>
        <i val="0"/>
        <strike val="0"/>
        <condense val="0"/>
        <extend val="0"/>
        <outline val="0"/>
        <shadow val="0"/>
        <u val="none"/>
        <vertAlign val="baseline"/>
        <sz val="16"/>
        <color theme="0"/>
        <name val="Calibri"/>
        <family val="2"/>
        <scheme val="minor"/>
      </font>
      <fill>
        <patternFill patternType="solid">
          <fgColor indexed="64"/>
          <bgColor rgb="FF002060"/>
        </patternFill>
      </fill>
      <alignment horizontal="left" vertical="top" textRotation="0" wrapText="0" indent="0" justifyLastLine="0" shrinkToFit="0" readingOrder="0"/>
    </dxf>
    <dxf>
      <font>
        <b val="0"/>
        <i val="0"/>
        <strike val="0"/>
        <condense val="0"/>
        <extend val="0"/>
        <outline val="0"/>
        <shadow val="0"/>
        <u val="none"/>
        <vertAlign val="baseline"/>
        <sz val="16"/>
        <color theme="1"/>
        <name val="Calibri"/>
        <family val="2"/>
        <scheme val="minor"/>
      </font>
      <fill>
        <patternFill patternType="solid">
          <fgColor indexed="64"/>
          <bgColor rgb="FF00B0F0"/>
        </patternFill>
      </fill>
      <alignment horizontal="general" vertical="center" textRotation="0" wrapText="1" indent="0" justifyLastLine="0" shrinkToFit="0" readingOrder="0"/>
    </dxf>
    <dxf>
      <font>
        <b val="0"/>
        <i val="0"/>
        <strike val="0"/>
        <condense val="0"/>
        <extend val="0"/>
        <outline val="0"/>
        <shadow val="0"/>
        <u val="none"/>
        <vertAlign val="baseline"/>
        <sz val="16"/>
        <color theme="1"/>
        <name val="Calibri"/>
        <family val="2"/>
        <scheme val="minor"/>
      </font>
      <fill>
        <patternFill patternType="solid">
          <fgColor indexed="64"/>
          <bgColor rgb="FF00B0F0"/>
        </patternFill>
      </fill>
      <alignment horizontal="general" vertical="center" textRotation="0" wrapText="1" indent="0" justifyLastLine="0" shrinkToFit="0" readingOrder="0"/>
    </dxf>
    <dxf>
      <font>
        <b val="0"/>
        <i val="0"/>
        <strike val="0"/>
        <condense val="0"/>
        <extend val="0"/>
        <outline val="0"/>
        <shadow val="0"/>
        <u val="none"/>
        <vertAlign val="baseline"/>
        <sz val="16"/>
        <color theme="1"/>
        <name val="Calibri"/>
        <family val="2"/>
        <scheme val="minor"/>
      </font>
      <fill>
        <patternFill patternType="solid">
          <fgColor indexed="64"/>
          <bgColor rgb="FF00B0F0"/>
        </patternFill>
      </fill>
      <alignment horizontal="general" vertical="center" textRotation="0" wrapText="1" indent="0" justifyLastLine="0" shrinkToFit="0" readingOrder="0"/>
    </dxf>
    <dxf>
      <font>
        <b val="0"/>
        <i val="0"/>
        <strike val="0"/>
        <condense val="0"/>
        <extend val="0"/>
        <outline val="0"/>
        <shadow val="0"/>
        <u val="none"/>
        <vertAlign val="baseline"/>
        <sz val="16"/>
        <color theme="1"/>
        <name val="Calibri"/>
        <family val="2"/>
        <scheme val="minor"/>
      </font>
      <numFmt numFmtId="0" formatCode="General"/>
      <fill>
        <patternFill patternType="solid">
          <fgColor indexed="64"/>
          <bgColor rgb="FF00B0F0"/>
        </patternFill>
      </fill>
      <alignment horizontal="general" vertical="center" textRotation="0" wrapText="1" indent="0" justifyLastLine="0" shrinkToFit="0" readingOrder="0"/>
    </dxf>
    <dxf>
      <font>
        <b val="0"/>
        <i val="0"/>
        <strike val="0"/>
        <condense val="0"/>
        <extend val="0"/>
        <outline val="0"/>
        <shadow val="0"/>
        <u val="none"/>
        <vertAlign val="baseline"/>
        <sz val="16"/>
        <color theme="1"/>
        <name val="Calibri"/>
        <family val="2"/>
        <scheme val="minor"/>
      </font>
      <fill>
        <patternFill patternType="solid">
          <fgColor indexed="64"/>
          <bgColor rgb="FF00B0F0"/>
        </patternFill>
      </fill>
      <alignment horizontal="general" vertical="center" textRotation="0" wrapText="1" indent="0" justifyLastLine="0" shrinkToFit="0" readingOrder="0"/>
    </dxf>
    <dxf>
      <font>
        <b val="0"/>
        <i val="0"/>
        <strike val="0"/>
        <condense val="0"/>
        <extend val="0"/>
        <outline val="0"/>
        <shadow val="0"/>
        <u val="none"/>
        <vertAlign val="baseline"/>
        <sz val="16"/>
        <color theme="1"/>
        <name val="Calibri"/>
        <family val="2"/>
        <scheme val="minor"/>
      </font>
      <fill>
        <patternFill patternType="solid">
          <fgColor indexed="64"/>
          <bgColor rgb="FF00B0F0"/>
        </patternFill>
      </fill>
      <alignment horizontal="general" vertical="center" textRotation="0" wrapText="1" indent="0" justifyLastLine="0" shrinkToFit="0" readingOrder="0"/>
    </dxf>
    <dxf>
      <font>
        <b val="0"/>
        <i val="0"/>
        <strike val="0"/>
        <condense val="0"/>
        <extend val="0"/>
        <outline val="0"/>
        <shadow val="0"/>
        <u val="none"/>
        <vertAlign val="baseline"/>
        <sz val="16"/>
        <color theme="0"/>
        <name val="Calibri"/>
        <family val="2"/>
        <scheme val="minor"/>
      </font>
      <fill>
        <patternFill patternType="solid">
          <fgColor indexed="64"/>
          <bgColor rgb="FF002060"/>
        </patternFill>
      </fill>
      <alignment horizontal="general" vertical="center" textRotation="0" wrapText="1" indent="0" justifyLastLine="0" shrinkToFit="0" readingOrder="0"/>
    </dxf>
    <dxf>
      <font>
        <b val="0"/>
        <i val="0"/>
        <strike val="0"/>
        <condense val="0"/>
        <extend val="0"/>
        <outline val="0"/>
        <shadow val="0"/>
        <u val="none"/>
        <vertAlign val="baseline"/>
        <sz val="16"/>
        <color theme="1"/>
        <name val="Calibri"/>
        <family val="2"/>
        <scheme val="minor"/>
      </font>
      <numFmt numFmtId="0" formatCode="General"/>
      <fill>
        <patternFill patternType="solid">
          <fgColor indexed="64"/>
          <bgColor rgb="FF00B0F0"/>
        </patternFill>
      </fill>
      <alignment horizontal="general" vertical="center" textRotation="0" wrapText="1" indent="0" justifyLastLine="0" shrinkToFit="0" readingOrder="0"/>
    </dxf>
    <dxf>
      <font>
        <b val="0"/>
        <i val="0"/>
        <strike val="0"/>
        <condense val="0"/>
        <extend val="0"/>
        <outline val="0"/>
        <shadow val="0"/>
        <u val="none"/>
        <vertAlign val="baseline"/>
        <sz val="16"/>
        <color theme="1"/>
        <name val="Calibri"/>
        <family val="2"/>
        <scheme val="minor"/>
      </font>
      <numFmt numFmtId="164" formatCode="&quot;₹&quot;\ #,##0"/>
      <fill>
        <patternFill patternType="solid">
          <fgColor indexed="64"/>
          <bgColor rgb="FF00B0F0"/>
        </patternFill>
      </fill>
      <alignment horizontal="general" vertical="center" textRotation="0" wrapText="1" indent="0" justifyLastLine="0" shrinkToFit="0" readingOrder="0"/>
    </dxf>
    <dxf>
      <font>
        <b val="0"/>
        <i val="0"/>
        <strike val="0"/>
        <condense val="0"/>
        <extend val="0"/>
        <outline val="0"/>
        <shadow val="0"/>
        <u val="none"/>
        <vertAlign val="baseline"/>
        <sz val="16"/>
        <color theme="1"/>
        <name val="Calibri"/>
        <family val="2"/>
        <scheme val="minor"/>
      </font>
      <numFmt numFmtId="0" formatCode="General"/>
      <fill>
        <patternFill patternType="solid">
          <fgColor indexed="64"/>
          <bgColor rgb="FF00B0F0"/>
        </patternFill>
      </fill>
      <alignment horizontal="general" vertical="center" textRotation="0" wrapText="1" indent="0" justifyLastLine="0" shrinkToFit="0" readingOrder="0"/>
    </dxf>
    <dxf>
      <font>
        <b val="0"/>
        <i val="0"/>
        <strike val="0"/>
        <condense val="0"/>
        <extend val="0"/>
        <outline val="0"/>
        <shadow val="0"/>
        <u val="none"/>
        <vertAlign val="baseline"/>
        <sz val="16"/>
        <color theme="1"/>
        <name val="Calibri"/>
        <family val="2"/>
        <scheme val="minor"/>
      </font>
      <numFmt numFmtId="0" formatCode="General"/>
      <fill>
        <patternFill patternType="solid">
          <fgColor indexed="64"/>
          <bgColor rgb="FF00B0F0"/>
        </patternFill>
      </fill>
      <alignment horizontal="general" vertical="center" textRotation="0" wrapText="1" indent="0" justifyLastLine="0" shrinkToFit="0" readingOrder="0"/>
    </dxf>
    <dxf>
      <font>
        <b val="0"/>
        <i val="0"/>
        <strike val="0"/>
        <condense val="0"/>
        <extend val="0"/>
        <outline val="0"/>
        <shadow val="0"/>
        <u val="none"/>
        <vertAlign val="baseline"/>
        <sz val="16"/>
        <color theme="1"/>
        <name val="Calibri"/>
        <family val="2"/>
        <scheme val="minor"/>
      </font>
      <numFmt numFmtId="0" formatCode="General"/>
      <fill>
        <patternFill patternType="solid">
          <fgColor indexed="64"/>
          <bgColor rgb="FF00B0F0"/>
        </patternFill>
      </fill>
      <alignment horizontal="general" vertical="center" textRotation="0" wrapText="1" indent="0" justifyLastLine="0" shrinkToFit="0" readingOrder="0"/>
    </dxf>
    <dxf>
      <font>
        <b val="0"/>
        <i val="0"/>
        <strike val="0"/>
        <condense val="0"/>
        <extend val="0"/>
        <outline val="0"/>
        <shadow val="0"/>
        <u val="none"/>
        <vertAlign val="baseline"/>
        <sz val="16"/>
        <color theme="1"/>
        <name val="Calibri"/>
        <family val="2"/>
        <scheme val="minor"/>
      </font>
      <fill>
        <patternFill patternType="solid">
          <fgColor indexed="64"/>
          <bgColor rgb="FF00B0F0"/>
        </patternFill>
      </fill>
      <alignment horizontal="general" vertical="center" textRotation="0" wrapText="1" indent="0" justifyLastLine="0" shrinkToFit="0" readingOrder="0"/>
    </dxf>
    <dxf>
      <font>
        <b val="0"/>
        <i val="0"/>
        <strike val="0"/>
        <condense val="0"/>
        <extend val="0"/>
        <outline val="0"/>
        <shadow val="0"/>
        <u val="none"/>
        <vertAlign val="baseline"/>
        <sz val="16"/>
        <color theme="1"/>
        <name val="Calibri"/>
        <family val="2"/>
        <scheme val="minor"/>
      </font>
      <fill>
        <patternFill patternType="solid">
          <fgColor indexed="64"/>
          <bgColor rgb="FF00B0F0"/>
        </patternFill>
      </fill>
      <alignment horizontal="general" vertical="center" textRotation="0" wrapText="1" indent="0" justifyLastLine="0" shrinkToFit="0" readingOrder="0"/>
    </dxf>
    <dxf>
      <font>
        <b val="0"/>
        <i val="0"/>
        <strike val="0"/>
        <condense val="0"/>
        <extend val="0"/>
        <outline val="0"/>
        <shadow val="0"/>
        <u val="none"/>
        <vertAlign val="baseline"/>
        <sz val="16"/>
        <color theme="1"/>
        <name val="Calibri"/>
        <family val="2"/>
        <scheme val="minor"/>
      </font>
      <numFmt numFmtId="0" formatCode="General"/>
      <fill>
        <patternFill patternType="solid">
          <fgColor indexed="64"/>
          <bgColor rgb="FF00B0F0"/>
        </patternFill>
      </fill>
      <alignment horizontal="general" vertical="center" textRotation="0" wrapText="1" indent="0" justifyLastLine="0" shrinkToFit="0" readingOrder="0"/>
    </dxf>
    <dxf>
      <font>
        <b val="0"/>
        <i val="0"/>
        <strike val="0"/>
        <condense val="0"/>
        <extend val="0"/>
        <outline val="0"/>
        <shadow val="0"/>
        <u val="none"/>
        <vertAlign val="baseline"/>
        <sz val="16"/>
        <color theme="1"/>
        <name val="Calibri"/>
        <family val="2"/>
        <scheme val="minor"/>
      </font>
      <fill>
        <patternFill patternType="solid">
          <fgColor indexed="64"/>
          <bgColor rgb="FF00B0F0"/>
        </patternFill>
      </fill>
      <alignment horizontal="general" vertical="center" textRotation="0" wrapText="1" indent="0" justifyLastLine="0" shrinkToFit="0" readingOrder="0"/>
    </dxf>
    <dxf>
      <font>
        <b val="0"/>
        <i val="0"/>
        <strike val="0"/>
        <condense val="0"/>
        <extend val="0"/>
        <outline val="0"/>
        <shadow val="0"/>
        <u val="none"/>
        <vertAlign val="baseline"/>
        <sz val="16"/>
        <color theme="0"/>
        <name val="Calibri"/>
        <family val="2"/>
        <scheme val="minor"/>
      </font>
      <fill>
        <patternFill patternType="solid">
          <fgColor indexed="64"/>
          <bgColor rgb="FF002060"/>
        </patternFill>
      </fill>
      <alignment horizontal="general" vertical="center" textRotation="0" wrapText="1" indent="0" justifyLastLine="0" shrinkToFit="0" readingOrder="0"/>
    </dxf>
    <dxf>
      <font>
        <b val="0"/>
        <i val="0"/>
        <strike val="0"/>
        <condense val="0"/>
        <extend val="0"/>
        <outline val="0"/>
        <shadow val="0"/>
        <u val="none"/>
        <vertAlign val="baseline"/>
        <sz val="16"/>
        <color theme="1"/>
        <name val="Calibri"/>
        <family val="2"/>
        <scheme val="minor"/>
      </font>
      <numFmt numFmtId="32" formatCode="_ &quot;₹&quot;\ * #,##0_ ;_ &quot;₹&quot;\ * \-#,##0_ ;_ &quot;₹&quot;\ * &quot;-&quot;_ ;_ @_ "/>
      <fill>
        <patternFill patternType="solid">
          <fgColor indexed="64"/>
          <bgColor rgb="FF00B0F0"/>
        </patternFill>
      </fill>
      <alignment horizontal="general" vertical="center" textRotation="0" wrapText="1" indent="0" justifyLastLine="0" shrinkToFit="0" readingOrder="0"/>
    </dxf>
    <dxf>
      <font>
        <b val="0"/>
        <i val="0"/>
        <strike val="0"/>
        <condense val="0"/>
        <extend val="0"/>
        <outline val="0"/>
        <shadow val="0"/>
        <u val="none"/>
        <vertAlign val="baseline"/>
        <sz val="16"/>
        <color theme="1"/>
        <name val="Calibri"/>
        <family val="2"/>
        <scheme val="minor"/>
      </font>
      <numFmt numFmtId="32" formatCode="_ &quot;₹&quot;\ * #,##0_ ;_ &quot;₹&quot;\ * \-#,##0_ ;_ &quot;₹&quot;\ * &quot;-&quot;_ ;_ @_ "/>
      <fill>
        <patternFill patternType="solid">
          <fgColor indexed="64"/>
          <bgColor rgb="FF00B0F0"/>
        </patternFill>
      </fill>
      <alignment horizontal="general" vertical="center" textRotation="0" wrapText="1" indent="0" justifyLastLine="0" shrinkToFit="0" readingOrder="0"/>
    </dxf>
    <dxf>
      <font>
        <b val="0"/>
        <i val="0"/>
        <strike val="0"/>
        <condense val="0"/>
        <extend val="0"/>
        <outline val="0"/>
        <shadow val="0"/>
        <u val="none"/>
        <vertAlign val="baseline"/>
        <sz val="16"/>
        <color theme="1"/>
        <name val="Calibri"/>
        <family val="2"/>
        <scheme val="minor"/>
      </font>
      <fill>
        <patternFill patternType="solid">
          <fgColor indexed="64"/>
          <bgColor rgb="FF00B0F0"/>
        </patternFill>
      </fill>
      <alignment horizontal="general" vertical="center" textRotation="0" wrapText="1" indent="0" justifyLastLine="0" shrinkToFit="0" readingOrder="0"/>
    </dxf>
    <dxf>
      <font>
        <b val="0"/>
        <i val="0"/>
        <strike val="0"/>
        <condense val="0"/>
        <extend val="0"/>
        <outline val="0"/>
        <shadow val="0"/>
        <u val="none"/>
        <vertAlign val="baseline"/>
        <sz val="16"/>
        <color theme="1"/>
        <name val="Calibri"/>
        <family val="2"/>
        <scheme val="minor"/>
      </font>
      <fill>
        <patternFill patternType="solid">
          <fgColor indexed="64"/>
          <bgColor rgb="FF00B0F0"/>
        </patternFill>
      </fill>
      <alignment horizontal="general" vertical="center" textRotation="0" wrapText="1" indent="0" justifyLastLine="0" shrinkToFit="0" readingOrder="0"/>
    </dxf>
    <dxf>
      <font>
        <b val="0"/>
        <i val="0"/>
        <strike val="0"/>
        <condense val="0"/>
        <extend val="0"/>
        <outline val="0"/>
        <shadow val="0"/>
        <u val="none"/>
        <vertAlign val="baseline"/>
        <sz val="16"/>
        <color theme="1"/>
        <name val="Calibri"/>
        <family val="2"/>
        <scheme val="minor"/>
      </font>
      <numFmt numFmtId="0" formatCode="General"/>
      <fill>
        <patternFill patternType="solid">
          <fgColor indexed="64"/>
          <bgColor rgb="FF00B0F0"/>
        </patternFill>
      </fill>
      <alignment horizontal="general" vertical="center" textRotation="0" wrapText="1" indent="0" justifyLastLine="0" shrinkToFit="0" readingOrder="0"/>
    </dxf>
    <dxf>
      <font>
        <b val="0"/>
        <i val="0"/>
        <strike val="0"/>
        <condense val="0"/>
        <extend val="0"/>
        <outline val="0"/>
        <shadow val="0"/>
        <u val="none"/>
        <vertAlign val="baseline"/>
        <sz val="16"/>
        <color theme="1"/>
        <name val="Calibri"/>
        <family val="2"/>
        <scheme val="minor"/>
      </font>
      <numFmt numFmtId="0" formatCode="General"/>
      <fill>
        <patternFill patternType="solid">
          <fgColor indexed="64"/>
          <bgColor rgb="FF00B0F0"/>
        </patternFill>
      </fill>
      <alignment horizontal="general" vertical="center" textRotation="0" wrapText="1" indent="0" justifyLastLine="0" shrinkToFit="0" readingOrder="0"/>
    </dxf>
    <dxf>
      <font>
        <b val="0"/>
        <i val="0"/>
        <strike val="0"/>
        <condense val="0"/>
        <extend val="0"/>
        <outline val="0"/>
        <shadow val="0"/>
        <u val="none"/>
        <vertAlign val="baseline"/>
        <sz val="16"/>
        <color theme="1"/>
        <name val="Calibri"/>
        <family val="2"/>
        <scheme val="minor"/>
      </font>
      <fill>
        <patternFill patternType="solid">
          <fgColor indexed="64"/>
          <bgColor rgb="FF00B0F0"/>
        </patternFill>
      </fill>
      <alignment horizontal="general" vertical="center" textRotation="0" wrapText="1" indent="0" justifyLastLine="0" shrinkToFit="0" readingOrder="0"/>
    </dxf>
    <dxf>
      <font>
        <b val="0"/>
        <i val="0"/>
        <strike val="0"/>
        <condense val="0"/>
        <extend val="0"/>
        <outline val="0"/>
        <shadow val="0"/>
        <u val="none"/>
        <vertAlign val="baseline"/>
        <sz val="16"/>
        <color theme="1"/>
        <name val="Calibri"/>
        <family val="2"/>
        <scheme val="minor"/>
      </font>
      <fill>
        <patternFill patternType="solid">
          <fgColor indexed="64"/>
          <bgColor rgb="FF00B0F0"/>
        </patternFill>
      </fill>
      <alignment horizontal="general" vertical="center" textRotation="0" wrapText="1" indent="0" justifyLastLine="0" shrinkToFit="0" readingOrder="0"/>
    </dxf>
    <dxf>
      <font>
        <b val="0"/>
        <i val="0"/>
        <strike val="0"/>
        <condense val="0"/>
        <extend val="0"/>
        <outline val="0"/>
        <shadow val="0"/>
        <u val="none"/>
        <vertAlign val="baseline"/>
        <sz val="16"/>
        <color theme="0"/>
        <name val="Calibri"/>
        <family val="2"/>
        <scheme val="minor"/>
      </font>
      <fill>
        <patternFill patternType="solid">
          <fgColor indexed="64"/>
          <bgColor rgb="FF002060"/>
        </patternFill>
      </fill>
      <alignment horizontal="general" vertical="center" textRotation="0" wrapText="1" indent="0" justifyLastLine="0" shrinkToFit="0" readingOrder="0"/>
    </dxf>
    <dxf>
      <font>
        <b val="0"/>
        <i val="0"/>
        <strike val="0"/>
        <condense val="0"/>
        <extend val="0"/>
        <outline val="0"/>
        <shadow val="0"/>
        <u val="none"/>
        <vertAlign val="baseline"/>
        <sz val="16"/>
        <color theme="1"/>
        <name val="Calibri"/>
        <family val="2"/>
        <scheme val="minor"/>
      </font>
      <numFmt numFmtId="32" formatCode="_ &quot;₹&quot;\ * #,##0_ ;_ &quot;₹&quot;\ * \-#,##0_ ;_ &quot;₹&quot;\ * &quot;-&quot;_ ;_ @_ "/>
      <fill>
        <patternFill patternType="solid">
          <fgColor indexed="64"/>
          <bgColor rgb="FF00B0F0"/>
        </patternFill>
      </fill>
      <alignment horizontal="general" vertical="center" textRotation="0" wrapText="1" indent="0" justifyLastLine="0" shrinkToFit="0" readingOrder="0"/>
    </dxf>
    <dxf>
      <font>
        <b val="0"/>
        <i val="0"/>
        <strike val="0"/>
        <condense val="0"/>
        <extend val="0"/>
        <outline val="0"/>
        <shadow val="0"/>
        <u val="none"/>
        <vertAlign val="baseline"/>
        <sz val="16"/>
        <color theme="1"/>
        <name val="Calibri"/>
        <family val="2"/>
        <scheme val="minor"/>
      </font>
      <numFmt numFmtId="32" formatCode="_ &quot;₹&quot;\ * #,##0_ ;_ &quot;₹&quot;\ * \-#,##0_ ;_ &quot;₹&quot;\ * &quot;-&quot;_ ;_ @_ "/>
      <fill>
        <patternFill patternType="solid">
          <fgColor indexed="64"/>
          <bgColor rgb="FF00B0F0"/>
        </patternFill>
      </fill>
      <alignment horizontal="general" vertical="center" textRotation="0" wrapText="1" indent="0" justifyLastLine="0" shrinkToFit="0" readingOrder="0"/>
    </dxf>
    <dxf>
      <font>
        <b val="0"/>
        <i val="0"/>
        <strike val="0"/>
        <condense val="0"/>
        <extend val="0"/>
        <outline val="0"/>
        <shadow val="0"/>
        <u val="none"/>
        <vertAlign val="baseline"/>
        <sz val="16"/>
        <color theme="1"/>
        <name val="Calibri"/>
        <family val="2"/>
        <scheme val="minor"/>
      </font>
      <fill>
        <patternFill patternType="solid">
          <fgColor indexed="64"/>
          <bgColor rgb="FF00B0F0"/>
        </patternFill>
      </fill>
      <alignment horizontal="general" vertical="center" textRotation="0" wrapText="1" indent="0" justifyLastLine="0" shrinkToFit="0" readingOrder="0"/>
    </dxf>
    <dxf>
      <font>
        <b val="0"/>
        <i val="0"/>
        <strike val="0"/>
        <condense val="0"/>
        <extend val="0"/>
        <outline val="0"/>
        <shadow val="0"/>
        <u val="none"/>
        <vertAlign val="baseline"/>
        <sz val="16"/>
        <color theme="1"/>
        <name val="Calibri"/>
        <family val="2"/>
        <scheme val="minor"/>
      </font>
      <fill>
        <patternFill patternType="solid">
          <fgColor indexed="64"/>
          <bgColor rgb="FF00B0F0"/>
        </patternFill>
      </fill>
      <alignment horizontal="general" vertical="center" textRotation="0" wrapText="1" indent="0" justifyLastLine="0" shrinkToFit="0" readingOrder="0"/>
    </dxf>
    <dxf>
      <fill>
        <patternFill>
          <fgColor indexed="64"/>
          <bgColor rgb="FF00B0F0"/>
        </patternFill>
      </fill>
      <alignment horizontal="general" vertical="center" textRotation="0" wrapText="1" indent="0" justifyLastLine="0" shrinkToFit="0" readingOrder="0"/>
    </dxf>
    <dxf>
      <font>
        <b val="0"/>
        <i val="0"/>
        <strike val="0"/>
        <condense val="0"/>
        <extend val="0"/>
        <outline val="0"/>
        <shadow val="0"/>
        <u val="none"/>
        <vertAlign val="baseline"/>
        <sz val="16"/>
        <color theme="0"/>
        <name val="Calibri"/>
        <family val="2"/>
        <scheme val="minor"/>
      </font>
      <fill>
        <patternFill patternType="solid">
          <fgColor indexed="64"/>
          <bgColor rgb="FF002060"/>
        </patternFill>
      </fill>
      <alignment horizontal="general" vertical="center" textRotation="0" wrapText="1" indent="0" justifyLastLine="0" shrinkToFit="0" readingOrder="0"/>
    </dxf>
    <dxf>
      <numFmt numFmtId="165" formatCode="0.0"/>
    </dxf>
    <dxf>
      <numFmt numFmtId="1" formatCode="0"/>
    </dxf>
    <dxf>
      <font>
        <b val="0"/>
        <i val="0"/>
        <strike val="0"/>
        <condense val="0"/>
        <extend val="0"/>
        <outline val="0"/>
        <shadow val="0"/>
        <u val="none"/>
        <vertAlign val="baseline"/>
        <sz val="16"/>
        <color theme="1"/>
        <name val="Calibri"/>
        <family val="2"/>
        <scheme val="minor"/>
      </font>
      <fill>
        <patternFill patternType="solid">
          <fgColor indexed="64"/>
          <bgColor rgb="FF00B0F0"/>
        </patternFill>
      </fill>
      <alignment vertical="center" textRotation="0" wrapText="1" indent="0" justifyLastLine="0" shrinkToFit="0" readingOrder="0"/>
    </dxf>
    <dxf>
      <font>
        <b val="0"/>
        <i val="0"/>
        <strike val="0"/>
        <condense val="0"/>
        <extend val="0"/>
        <outline val="0"/>
        <shadow val="0"/>
        <u val="none"/>
        <vertAlign val="baseline"/>
        <sz val="16"/>
        <color theme="1"/>
        <name val="Calibri"/>
        <family val="2"/>
        <scheme val="minor"/>
      </font>
      <fill>
        <patternFill patternType="solid">
          <fgColor indexed="64"/>
          <bgColor rgb="FF00B0F0"/>
        </patternFill>
      </fill>
      <alignment vertical="center" textRotation="0" wrapText="1" indent="0" justifyLastLine="0" shrinkToFit="0" readingOrder="0"/>
    </dxf>
    <dxf>
      <font>
        <b val="0"/>
        <i val="0"/>
        <strike val="0"/>
        <condense val="0"/>
        <extend val="0"/>
        <outline val="0"/>
        <shadow val="0"/>
        <u val="none"/>
        <vertAlign val="baseline"/>
        <sz val="16"/>
        <color theme="1"/>
        <name val="Calibri"/>
        <family val="2"/>
        <scheme val="minor"/>
      </font>
      <fill>
        <patternFill patternType="solid">
          <fgColor indexed="64"/>
          <bgColor rgb="FF00B0F0"/>
        </patternFill>
      </fill>
      <alignment horizontal="general" vertical="center" textRotation="0" wrapText="1" indent="0" justifyLastLine="0" shrinkToFit="0" readingOrder="0"/>
    </dxf>
    <dxf>
      <font>
        <b val="0"/>
        <i val="0"/>
        <strike val="0"/>
        <condense val="0"/>
        <extend val="0"/>
        <outline val="0"/>
        <shadow val="0"/>
        <u val="none"/>
        <vertAlign val="baseline"/>
        <sz val="16"/>
        <color theme="1"/>
        <name val="Calibri"/>
        <family val="2"/>
        <scheme val="minor"/>
      </font>
      <fill>
        <patternFill patternType="solid">
          <fgColor indexed="64"/>
          <bgColor rgb="FF00B0F0"/>
        </patternFill>
      </fill>
      <alignment vertical="center" textRotation="0" wrapText="1" indent="0" justifyLastLine="0" shrinkToFit="0" readingOrder="0"/>
    </dxf>
    <dxf>
      <font>
        <b val="0"/>
        <i val="0"/>
        <strike val="0"/>
        <condense val="0"/>
        <extend val="0"/>
        <outline val="0"/>
        <shadow val="0"/>
        <u val="none"/>
        <vertAlign val="baseline"/>
        <sz val="16"/>
        <color theme="1"/>
        <name val="Calibri"/>
        <family val="2"/>
        <scheme val="minor"/>
      </font>
      <fill>
        <patternFill patternType="solid">
          <fgColor indexed="64"/>
          <bgColor rgb="FF00B0F0"/>
        </patternFill>
      </fill>
      <alignment horizontal="left" vertical="center" textRotation="0" wrapText="1" indent="0" justifyLastLine="0" shrinkToFit="0" readingOrder="0"/>
    </dxf>
    <dxf>
      <font>
        <b val="0"/>
        <i val="0"/>
        <strike val="0"/>
        <condense val="0"/>
        <extend val="0"/>
        <outline val="0"/>
        <shadow val="0"/>
        <u val="none"/>
        <vertAlign val="baseline"/>
        <sz val="16"/>
        <color theme="1"/>
        <name val="Calibri"/>
        <family val="2"/>
        <scheme val="minor"/>
      </font>
      <fill>
        <patternFill patternType="solid">
          <fgColor indexed="64"/>
          <bgColor rgb="FF00B0F0"/>
        </patternFill>
      </fill>
      <alignment vertical="center" textRotation="0" wrapText="1" indent="0" justifyLastLine="0" shrinkToFit="0" readingOrder="0"/>
    </dxf>
    <dxf>
      <font>
        <b val="0"/>
        <i val="0"/>
        <strike val="0"/>
        <condense val="0"/>
        <extend val="0"/>
        <outline val="0"/>
        <shadow val="0"/>
        <u val="none"/>
        <vertAlign val="baseline"/>
        <sz val="16"/>
        <color theme="1"/>
        <name val="Calibri"/>
        <family val="2"/>
        <scheme val="minor"/>
      </font>
      <fill>
        <patternFill patternType="solid">
          <fgColor indexed="64"/>
          <bgColor rgb="FF002060"/>
        </patternFill>
      </fill>
      <alignment vertical="center" textRotation="0" wrapText="1" indent="0" justifyLastLine="0" shrinkToFit="0" readingOrder="0"/>
    </dxf>
  </dxfs>
  <tableStyles count="0" defaultTableStyle="TableStyleMedium2" defaultPivotStyle="PivotStyleLight16"/>
  <colors>
    <mruColors>
      <color rgb="FFFF99FF"/>
      <color rgb="FFCC99FF"/>
      <color rgb="FFCCC9DF"/>
      <color rgb="FFC6E1E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4.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pivotCacheDefinition" Target="pivotCache/pivotCacheDefinition3.xml"/><Relationship Id="rId17" Type="http://schemas.microsoft.com/office/2007/relationships/slicerCache" Target="slicerCaches/slicerCache3.xml"/><Relationship Id="rId2" Type="http://schemas.openxmlformats.org/officeDocument/2006/relationships/worksheet" Target="worksheets/sheet2.xml"/><Relationship Id="rId16" Type="http://schemas.microsoft.com/office/2007/relationships/slicerCache" Target="slicerCaches/slicerCache2.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24" Type="http://schemas.microsoft.com/office/2017/10/relationships/person" Target="persons/person.xml"/><Relationship Id="rId5" Type="http://schemas.openxmlformats.org/officeDocument/2006/relationships/worksheet" Target="worksheets/sheet5.xml"/><Relationship Id="rId15" Type="http://schemas.microsoft.com/office/2007/relationships/slicerCache" Target="slicerCaches/slicerCache1.xml"/><Relationship Id="rId23" Type="http://schemas.microsoft.com/office/2006/relationships/vbaProject" Target="vbaProject.bin"/><Relationship Id="rId10" Type="http://schemas.openxmlformats.org/officeDocument/2006/relationships/pivotCacheDefinition" Target="pivotCache/pivotCacheDefinition1.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5.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[inventory_project.xlsx 2.xlsm]Pivot!PivotTable7</c:name>
    <c:fmtId val="4"/>
  </c:pivotSource>
  <c:chart>
    <c:title>
      <c:tx>
        <c:rich>
          <a:bodyPr rot="0" spcFirstLastPara="1" vertOverflow="ellipsis" vert="horz" wrap="square" anchor="ctr" anchorCtr="1"/>
          <a:lstStyle/>
          <a:p>
            <a:pPr>
              <a:defRPr sz="1400" b="0" i="0" u="none" strike="noStrike" kern="1200" spc="0" baseline="0">
                <a:ln>
                  <a:noFill/>
                </a:ln>
                <a:solidFill>
                  <a:schemeClr val="bg1"/>
                </a:solidFill>
                <a:latin typeface="+mn-lt"/>
                <a:ea typeface="+mn-ea"/>
                <a:cs typeface="+mn-cs"/>
              </a:defRPr>
            </a:pPr>
            <a:r>
              <a:rPr lang="en-US"/>
              <a:t>Top 5 Customer </a:t>
            </a:r>
          </a:p>
        </c:rich>
      </c:tx>
      <c:overlay val="0"/>
      <c:spPr>
        <a:noFill/>
        <a:ln>
          <a:noFill/>
        </a:ln>
        <a:effectLst/>
      </c:spPr>
      <c:txPr>
        <a:bodyPr rot="0" spcFirstLastPara="1" vertOverflow="ellipsis" vert="horz" wrap="square" anchor="ctr" anchorCtr="1"/>
        <a:lstStyle/>
        <a:p>
          <a:pPr>
            <a:defRPr sz="1400" b="0" i="0" u="none" strike="noStrike" kern="1200" spc="0" baseline="0">
              <a:ln>
                <a:noFill/>
              </a:ln>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0">
                <a:srgbClr val="002060"/>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a:glow rad="63500">
              <a:schemeClr val="accent1">
                <a:satMod val="175000"/>
                <a:alpha val="40000"/>
              </a:schemeClr>
            </a:glow>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ln>
                    <a:noFill/>
                  </a:ln>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a:gsLst>
              <a:gs pos="0">
                <a:srgbClr val="FFFF00"/>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gradFill>
            <a:gsLst>
              <a:gs pos="0">
                <a:srgbClr val="FFFF00"/>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gradFill>
          <a:ln>
            <a:noFill/>
          </a:ln>
          <a:effectLst>
            <a:glow rad="139700">
              <a:schemeClr val="accent5">
                <a:satMod val="175000"/>
                <a:alpha val="40000"/>
              </a:schemeClr>
            </a:glow>
          </a:effectLst>
        </c:spPr>
      </c:pivotFmt>
    </c:pivotFmts>
    <c:plotArea>
      <c:layout/>
      <c:barChart>
        <c:barDir val="bar"/>
        <c:grouping val="clustered"/>
        <c:varyColors val="0"/>
        <c:ser>
          <c:idx val="0"/>
          <c:order val="0"/>
          <c:tx>
            <c:strRef>
              <c:f>Pivot!$G$17</c:f>
              <c:strCache>
                <c:ptCount val="1"/>
                <c:pt idx="0">
                  <c:v>Total</c:v>
                </c:pt>
              </c:strCache>
            </c:strRef>
          </c:tx>
          <c:spPr>
            <a:gradFill>
              <a:gsLst>
                <a:gs pos="0">
                  <a:srgbClr val="FFFF00"/>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gradFill>
            <a:ln>
              <a:noFill/>
            </a:ln>
            <a:effectLst/>
          </c:spPr>
          <c:invertIfNegative val="0"/>
          <c:dPt>
            <c:idx val="4"/>
            <c:invertIfNegative val="0"/>
            <c:bubble3D val="0"/>
            <c:spPr>
              <a:gradFill>
                <a:gsLst>
                  <a:gs pos="0">
                    <a:srgbClr val="FFFF00"/>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gradFill>
              <a:ln>
                <a:noFill/>
              </a:ln>
              <a:effectLst>
                <a:glow rad="139700">
                  <a:schemeClr val="accent5">
                    <a:satMod val="175000"/>
                    <a:alpha val="40000"/>
                  </a:schemeClr>
                </a:glow>
              </a:effectLst>
            </c:spPr>
            <c:extLst>
              <c:ext xmlns:c16="http://schemas.microsoft.com/office/drawing/2014/chart" uri="{C3380CC4-5D6E-409C-BE32-E72D297353CC}">
                <c16:uniqueId val="{00000002-C872-4D19-A8C1-FE65D5B5811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Pivot!$F$18:$F$23</c:f>
              <c:strCache>
                <c:ptCount val="5"/>
                <c:pt idx="0">
                  <c:v>MK Tech.</c:v>
                </c:pt>
                <c:pt idx="1">
                  <c:v>krishna</c:v>
                </c:pt>
                <c:pt idx="2">
                  <c:v>Jain Tel.</c:v>
                </c:pt>
                <c:pt idx="3">
                  <c:v>haariom</c:v>
                </c:pt>
                <c:pt idx="4">
                  <c:v>hii</c:v>
                </c:pt>
              </c:strCache>
            </c:strRef>
          </c:cat>
          <c:val>
            <c:numRef>
              <c:f>Pivot!$G$18:$G$23</c:f>
              <c:numCache>
                <c:formatCode>General</c:formatCode>
                <c:ptCount val="5"/>
                <c:pt idx="0">
                  <c:v>1363608</c:v>
                </c:pt>
                <c:pt idx="1">
                  <c:v>2015815.2</c:v>
                </c:pt>
                <c:pt idx="2">
                  <c:v>2823392</c:v>
                </c:pt>
                <c:pt idx="3">
                  <c:v>5092200</c:v>
                </c:pt>
                <c:pt idx="4">
                  <c:v>5116800</c:v>
                </c:pt>
              </c:numCache>
            </c:numRef>
          </c:val>
          <c:extLst>
            <c:ext xmlns:c16="http://schemas.microsoft.com/office/drawing/2014/chart" uri="{C3380CC4-5D6E-409C-BE32-E72D297353CC}">
              <c16:uniqueId val="{00000000-C872-4D19-A8C1-FE65D5B58116}"/>
            </c:ext>
          </c:extLst>
        </c:ser>
        <c:dLbls>
          <c:dLblPos val="outEnd"/>
          <c:showLegendKey val="0"/>
          <c:showVal val="1"/>
          <c:showCatName val="0"/>
          <c:showSerName val="0"/>
          <c:showPercent val="0"/>
          <c:showBubbleSize val="0"/>
        </c:dLbls>
        <c:gapWidth val="173"/>
        <c:overlap val="11"/>
        <c:axId val="1083675792"/>
        <c:axId val="1083675312"/>
      </c:barChart>
      <c:catAx>
        <c:axId val="108367579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ln>
                  <a:noFill/>
                </a:ln>
                <a:solidFill>
                  <a:schemeClr val="bg1"/>
                </a:solidFill>
                <a:latin typeface="+mn-lt"/>
                <a:ea typeface="+mn-ea"/>
                <a:cs typeface="+mn-cs"/>
              </a:defRPr>
            </a:pPr>
            <a:endParaRPr lang="en-US"/>
          </a:p>
        </c:txPr>
        <c:crossAx val="1083675312"/>
        <c:crosses val="autoZero"/>
        <c:auto val="1"/>
        <c:lblAlgn val="ctr"/>
        <c:lblOffset val="100"/>
        <c:noMultiLvlLbl val="0"/>
      </c:catAx>
      <c:valAx>
        <c:axId val="1083675312"/>
        <c:scaling>
          <c:orientation val="minMax"/>
        </c:scaling>
        <c:delete val="1"/>
        <c:axPos val="b"/>
        <c:numFmt formatCode="General" sourceLinked="1"/>
        <c:majorTickMark val="none"/>
        <c:minorTickMark val="none"/>
        <c:tickLblPos val="nextTo"/>
        <c:crossAx val="10836757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00B0F0"/>
    </a:solidFill>
    <a:ln w="9525" cap="flat" cmpd="sng" algn="ctr">
      <a:noFill/>
      <a:round/>
    </a:ln>
    <a:effectLst/>
  </c:spPr>
  <c:txPr>
    <a:bodyPr/>
    <a:lstStyle/>
    <a:p>
      <a:pPr>
        <a:defRPr>
          <a:ln>
            <a:noFill/>
          </a:ln>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[inventory_project.xlsx 2.xlsm]Pivot!PivotTable12</c:name>
    <c:fmtId val="4"/>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a:t>Top5</a:t>
            </a:r>
            <a:r>
              <a:rPr lang="en-US" baseline="0"/>
              <a:t> Product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0">
                <a:srgbClr val="FFFF00"/>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flip="none" rotWithShape="1">
            <a:gsLst>
              <a:gs pos="0">
                <a:srgbClr val="FF0000"/>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Pivot!$K$22</c:f>
              <c:strCache>
                <c:ptCount val="1"/>
                <c:pt idx="0">
                  <c:v>Total</c:v>
                </c:pt>
              </c:strCache>
            </c:strRef>
          </c:tx>
          <c:spPr>
            <a:gradFill flip="none" rotWithShape="1">
              <a:gsLst>
                <a:gs pos="0">
                  <a:srgbClr val="FF0000"/>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Pivot!$J$23:$J$28</c:f>
              <c:strCache>
                <c:ptCount val="5"/>
                <c:pt idx="0">
                  <c:v>Laptop HP xyz i5</c:v>
                </c:pt>
                <c:pt idx="1">
                  <c:v>Camera</c:v>
                </c:pt>
                <c:pt idx="2">
                  <c:v>Tablets</c:v>
                </c:pt>
                <c:pt idx="3">
                  <c:v>Desktop</c:v>
                </c:pt>
                <c:pt idx="4">
                  <c:v>Mobile</c:v>
                </c:pt>
              </c:strCache>
            </c:strRef>
          </c:cat>
          <c:val>
            <c:numRef>
              <c:f>Pivot!$K$23:$K$28</c:f>
              <c:numCache>
                <c:formatCode>General</c:formatCode>
                <c:ptCount val="5"/>
                <c:pt idx="0">
                  <c:v>8280000</c:v>
                </c:pt>
                <c:pt idx="1">
                  <c:v>7800000</c:v>
                </c:pt>
                <c:pt idx="2">
                  <c:v>1804800</c:v>
                </c:pt>
                <c:pt idx="3">
                  <c:v>252000</c:v>
                </c:pt>
                <c:pt idx="4">
                  <c:v>240000</c:v>
                </c:pt>
              </c:numCache>
            </c:numRef>
          </c:val>
          <c:extLst>
            <c:ext xmlns:c16="http://schemas.microsoft.com/office/drawing/2014/chart" uri="{C3380CC4-5D6E-409C-BE32-E72D297353CC}">
              <c16:uniqueId val="{00000000-7918-4EC0-BB50-D229F514956B}"/>
            </c:ext>
          </c:extLst>
        </c:ser>
        <c:dLbls>
          <c:dLblPos val="outEnd"/>
          <c:showLegendKey val="0"/>
          <c:showVal val="1"/>
          <c:showCatName val="0"/>
          <c:showSerName val="0"/>
          <c:showPercent val="0"/>
          <c:showBubbleSize val="0"/>
        </c:dLbls>
        <c:gapWidth val="182"/>
        <c:axId val="1084940592"/>
        <c:axId val="1084938192"/>
      </c:barChart>
      <c:catAx>
        <c:axId val="1084940592"/>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084938192"/>
        <c:crosses val="autoZero"/>
        <c:auto val="1"/>
        <c:lblAlgn val="ctr"/>
        <c:lblOffset val="100"/>
        <c:noMultiLvlLbl val="0"/>
      </c:catAx>
      <c:valAx>
        <c:axId val="1084938192"/>
        <c:scaling>
          <c:orientation val="minMax"/>
        </c:scaling>
        <c:delete val="1"/>
        <c:axPos val="b"/>
        <c:numFmt formatCode="General" sourceLinked="1"/>
        <c:majorTickMark val="out"/>
        <c:minorTickMark val="none"/>
        <c:tickLblPos val="nextTo"/>
        <c:crossAx val="1084940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00B0F0"/>
    </a:solid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chemeClr val="bg1"/>
                </a:solidFill>
              </a:rPr>
              <a:t>Relation of sales and profit </a:t>
            </a:r>
          </a:p>
        </c:rich>
      </c:tx>
      <c:layout>
        <c:manualLayout>
          <c:xMode val="edge"/>
          <c:yMode val="edge"/>
          <c:x val="0.26120677746497667"/>
          <c:y val="2.653927813163482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noFill/>
              <a:round/>
            </a:ln>
            <a:effectLst/>
          </c:spPr>
          <c:marker>
            <c:symbol val="circle"/>
            <c:size val="11"/>
            <c:spPr>
              <a:solidFill>
                <a:srgbClr val="FF0000"/>
              </a:solidFill>
              <a:ln w="9525">
                <a:solidFill>
                  <a:schemeClr val="accent1"/>
                </a:solidFill>
              </a:ln>
              <a:effectLst/>
            </c:spPr>
          </c:marker>
          <c:xVal>
            <c:numRef>
              <c:f>Pivot!$D$36:$D$50</c:f>
              <c:numCache>
                <c:formatCode>General</c:formatCode>
                <c:ptCount val="15"/>
                <c:pt idx="0">
                  <c:v>1300000</c:v>
                </c:pt>
                <c:pt idx="1">
                  <c:v>42000</c:v>
                </c:pt>
                <c:pt idx="2">
                  <c:v>18217.199999999997</c:v>
                </c:pt>
                <c:pt idx="3">
                  <c:v>1380000</c:v>
                </c:pt>
                <c:pt idx="4">
                  <c:v>1720</c:v>
                </c:pt>
                <c:pt idx="5">
                  <c:v>3740</c:v>
                </c:pt>
                <c:pt idx="6">
                  <c:v>39788</c:v>
                </c:pt>
                <c:pt idx="7">
                  <c:v>6700</c:v>
                </c:pt>
                <c:pt idx="8">
                  <c:v>300800</c:v>
                </c:pt>
                <c:pt idx="9">
                  <c:v>4000</c:v>
                </c:pt>
                <c:pt idx="10">
                  <c:v>10000</c:v>
                </c:pt>
                <c:pt idx="11">
                  <c:v>10438</c:v>
                </c:pt>
                <c:pt idx="12">
                  <c:v>40000</c:v>
                </c:pt>
              </c:numCache>
            </c:numRef>
          </c:xVal>
          <c:yVal>
            <c:numRef>
              <c:f>Pivot!$E$36:$E$50</c:f>
              <c:numCache>
                <c:formatCode>General</c:formatCode>
                <c:ptCount val="15"/>
                <c:pt idx="0">
                  <c:v>7800000</c:v>
                </c:pt>
                <c:pt idx="1">
                  <c:v>252000</c:v>
                </c:pt>
                <c:pt idx="2">
                  <c:v>109303.2</c:v>
                </c:pt>
                <c:pt idx="3">
                  <c:v>8280000</c:v>
                </c:pt>
                <c:pt idx="4">
                  <c:v>10320</c:v>
                </c:pt>
                <c:pt idx="5">
                  <c:v>22440</c:v>
                </c:pt>
                <c:pt idx="6">
                  <c:v>238728</c:v>
                </c:pt>
                <c:pt idx="7">
                  <c:v>40200</c:v>
                </c:pt>
                <c:pt idx="8">
                  <c:v>1804800</c:v>
                </c:pt>
                <c:pt idx="9">
                  <c:v>24000</c:v>
                </c:pt>
                <c:pt idx="10">
                  <c:v>40000</c:v>
                </c:pt>
                <c:pt idx="11">
                  <c:v>27200</c:v>
                </c:pt>
                <c:pt idx="12">
                  <c:v>240000</c:v>
                </c:pt>
              </c:numCache>
            </c:numRef>
          </c:yVal>
          <c:smooth val="0"/>
          <c:extLst>
            <c:ext xmlns:c16="http://schemas.microsoft.com/office/drawing/2014/chart" uri="{C3380CC4-5D6E-409C-BE32-E72D297353CC}">
              <c16:uniqueId val="{00000000-4CF2-4FA1-99B0-AF346A96E59E}"/>
            </c:ext>
          </c:extLst>
        </c:ser>
        <c:dLbls>
          <c:showLegendKey val="0"/>
          <c:showVal val="0"/>
          <c:showCatName val="0"/>
          <c:showSerName val="0"/>
          <c:showPercent val="0"/>
          <c:showBubbleSize val="0"/>
        </c:dLbls>
        <c:axId val="471879775"/>
        <c:axId val="471883135"/>
      </c:scatterChart>
      <c:valAx>
        <c:axId val="47187977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r>
                  <a:rPr lang="en-US" sz="1400">
                    <a:solidFill>
                      <a:schemeClr val="bg1"/>
                    </a:solidFill>
                  </a:rPr>
                  <a:t>Sales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471883135"/>
        <c:crosses val="autoZero"/>
        <c:crossBetween val="midCat"/>
      </c:valAx>
      <c:valAx>
        <c:axId val="471883135"/>
        <c:scaling>
          <c:orientation val="minMax"/>
        </c:scaling>
        <c:delete val="0"/>
        <c:axPos val="l"/>
        <c:title>
          <c:tx>
            <c:rich>
              <a:bodyPr rot="-5400000" spcFirstLastPara="1" vertOverflow="ellipsis" vert="horz" wrap="square" anchor="ctr" anchorCtr="1"/>
              <a:lstStyle/>
              <a:p>
                <a:pPr>
                  <a:defRPr sz="1400" b="0" i="0" u="none" strike="noStrike" kern="1200" baseline="0">
                    <a:solidFill>
                      <a:schemeClr val="bg1"/>
                    </a:solidFill>
                    <a:latin typeface="+mn-lt"/>
                    <a:ea typeface="+mn-ea"/>
                    <a:cs typeface="+mn-cs"/>
                  </a:defRPr>
                </a:pPr>
                <a:r>
                  <a:rPr lang="en-US" sz="1400">
                    <a:solidFill>
                      <a:schemeClr val="bg1"/>
                    </a:solidFill>
                  </a:rPr>
                  <a:t>Profit </a:t>
                </a:r>
              </a:p>
            </c:rich>
          </c:tx>
          <c:overlay val="0"/>
          <c:spPr>
            <a:noFill/>
            <a:ln>
              <a:noFill/>
            </a:ln>
            <a:effectLst/>
          </c:spPr>
          <c:txPr>
            <a:bodyPr rot="-5400000" spcFirstLastPara="1" vertOverflow="ellipsis" vert="horz" wrap="square" anchor="ctr" anchorCtr="1"/>
            <a:lstStyle/>
            <a:p>
              <a:pPr>
                <a:defRPr sz="14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4718797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0">
          <a:srgbClr val="FF99FF"/>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[inventory_project.xlsx 2.xlsm]Pivot!PivotTable7</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 5 Customer </a:t>
            </a:r>
          </a:p>
        </c:rich>
      </c:tx>
      <c:layout>
        <c:manualLayout>
          <c:xMode val="edge"/>
          <c:yMode val="edge"/>
          <c:x val="0.27242626087707461"/>
          <c:y val="9.973506312151471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Pivot!$G$17</c:f>
              <c:strCache>
                <c:ptCount val="1"/>
                <c:pt idx="0">
                  <c:v>Total</c:v>
                </c:pt>
              </c:strCache>
            </c:strRef>
          </c:tx>
          <c:spPr>
            <a:solidFill>
              <a:schemeClr val="accent1"/>
            </a:solidFill>
            <a:ln>
              <a:noFill/>
            </a:ln>
            <a:effectLst/>
          </c:spPr>
          <c:invertIfNegative val="0"/>
          <c:cat>
            <c:strRef>
              <c:f>Pivot!$F$18:$F$23</c:f>
              <c:strCache>
                <c:ptCount val="5"/>
                <c:pt idx="0">
                  <c:v>MK Tech.</c:v>
                </c:pt>
                <c:pt idx="1">
                  <c:v>krishna</c:v>
                </c:pt>
                <c:pt idx="2">
                  <c:v>Jain Tel.</c:v>
                </c:pt>
                <c:pt idx="3">
                  <c:v>haariom</c:v>
                </c:pt>
                <c:pt idx="4">
                  <c:v>hii</c:v>
                </c:pt>
              </c:strCache>
            </c:strRef>
          </c:cat>
          <c:val>
            <c:numRef>
              <c:f>Pivot!$G$18:$G$23</c:f>
              <c:numCache>
                <c:formatCode>General</c:formatCode>
                <c:ptCount val="5"/>
                <c:pt idx="0">
                  <c:v>1363608</c:v>
                </c:pt>
                <c:pt idx="1">
                  <c:v>2015815.2</c:v>
                </c:pt>
                <c:pt idx="2">
                  <c:v>2823392</c:v>
                </c:pt>
                <c:pt idx="3">
                  <c:v>5092200</c:v>
                </c:pt>
                <c:pt idx="4">
                  <c:v>5116800</c:v>
                </c:pt>
              </c:numCache>
            </c:numRef>
          </c:val>
          <c:extLst>
            <c:ext xmlns:c16="http://schemas.microsoft.com/office/drawing/2014/chart" uri="{C3380CC4-5D6E-409C-BE32-E72D297353CC}">
              <c16:uniqueId val="{00000000-A9C3-4402-8B17-247719D61B42}"/>
            </c:ext>
          </c:extLst>
        </c:ser>
        <c:dLbls>
          <c:showLegendKey val="0"/>
          <c:showVal val="0"/>
          <c:showCatName val="0"/>
          <c:showSerName val="0"/>
          <c:showPercent val="0"/>
          <c:showBubbleSize val="0"/>
        </c:dLbls>
        <c:gapWidth val="182"/>
        <c:axId val="1083675792"/>
        <c:axId val="1083675312"/>
      </c:barChart>
      <c:catAx>
        <c:axId val="108367579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3675312"/>
        <c:crosses val="autoZero"/>
        <c:auto val="1"/>
        <c:lblAlgn val="ctr"/>
        <c:lblOffset val="100"/>
        <c:noMultiLvlLbl val="0"/>
      </c:catAx>
      <c:valAx>
        <c:axId val="108367531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36757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[inventory_project.xlsx 2.xlsm]Pivot!PivotTable12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a:t>
            </a:r>
            <a:r>
              <a:rPr lang="en-US" baseline="0"/>
              <a:t> 5 Selling product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Pivot!$K$22</c:f>
              <c:strCache>
                <c:ptCount val="1"/>
                <c:pt idx="0">
                  <c:v>Total</c:v>
                </c:pt>
              </c:strCache>
            </c:strRef>
          </c:tx>
          <c:spPr>
            <a:solidFill>
              <a:schemeClr val="accent1"/>
            </a:solidFill>
            <a:ln>
              <a:noFill/>
            </a:ln>
            <a:effectLst/>
          </c:spPr>
          <c:invertIfNegative val="0"/>
          <c:cat>
            <c:strRef>
              <c:f>Pivot!$J$23:$J$28</c:f>
              <c:strCache>
                <c:ptCount val="5"/>
                <c:pt idx="0">
                  <c:v>Laptop HP xyz i5</c:v>
                </c:pt>
                <c:pt idx="1">
                  <c:v>Camera</c:v>
                </c:pt>
                <c:pt idx="2">
                  <c:v>Tablets</c:v>
                </c:pt>
                <c:pt idx="3">
                  <c:v>Desktop</c:v>
                </c:pt>
                <c:pt idx="4">
                  <c:v>Mobile</c:v>
                </c:pt>
              </c:strCache>
            </c:strRef>
          </c:cat>
          <c:val>
            <c:numRef>
              <c:f>Pivot!$K$23:$K$28</c:f>
              <c:numCache>
                <c:formatCode>General</c:formatCode>
                <c:ptCount val="5"/>
                <c:pt idx="0">
                  <c:v>8280000</c:v>
                </c:pt>
                <c:pt idx="1">
                  <c:v>7800000</c:v>
                </c:pt>
                <c:pt idx="2">
                  <c:v>1804800</c:v>
                </c:pt>
                <c:pt idx="3">
                  <c:v>252000</c:v>
                </c:pt>
                <c:pt idx="4">
                  <c:v>240000</c:v>
                </c:pt>
              </c:numCache>
            </c:numRef>
          </c:val>
          <c:extLst>
            <c:ext xmlns:c16="http://schemas.microsoft.com/office/drawing/2014/chart" uri="{C3380CC4-5D6E-409C-BE32-E72D297353CC}">
              <c16:uniqueId val="{00000000-A8D2-4EA1-947A-3B2F850B3683}"/>
            </c:ext>
          </c:extLst>
        </c:ser>
        <c:dLbls>
          <c:showLegendKey val="0"/>
          <c:showVal val="0"/>
          <c:showCatName val="0"/>
          <c:showSerName val="0"/>
          <c:showPercent val="0"/>
          <c:showBubbleSize val="0"/>
        </c:dLbls>
        <c:gapWidth val="182"/>
        <c:axId val="1084940592"/>
        <c:axId val="1084938192"/>
      </c:barChart>
      <c:catAx>
        <c:axId val="108494059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4938192"/>
        <c:crosses val="autoZero"/>
        <c:auto val="1"/>
        <c:lblAlgn val="ctr"/>
        <c:lblOffset val="100"/>
        <c:noMultiLvlLbl val="0"/>
      </c:catAx>
      <c:valAx>
        <c:axId val="108493819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4940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[inventory_project.xlsx 2.xlsm]Pivot!PivotTable9</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Remaining  Stock</a:t>
            </a:r>
          </a:p>
        </c:rich>
      </c:tx>
      <c:layout>
        <c:manualLayout>
          <c:xMode val="edge"/>
          <c:yMode val="edge"/>
          <c:x val="7.8218515696290666E-2"/>
          <c:y val="0.11079139301135744"/>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Pivot!$P$25</c:f>
              <c:strCache>
                <c:ptCount val="1"/>
                <c:pt idx="0">
                  <c:v>Remaining Stock</c:v>
                </c:pt>
              </c:strCache>
            </c:strRef>
          </c:tx>
          <c:spPr>
            <a:solidFill>
              <a:schemeClr val="accent1"/>
            </a:solidFill>
            <a:ln>
              <a:noFill/>
            </a:ln>
            <a:effectLst/>
            <a:sp3d/>
          </c:spPr>
          <c:invertIfNegative val="0"/>
          <c:cat>
            <c:strRef>
              <c:f>Pivot!$O$26:$O$40</c:f>
              <c:strCache>
                <c:ptCount val="15"/>
                <c:pt idx="0">
                  <c:v>Camera</c:v>
                </c:pt>
                <c:pt idx="1">
                  <c:v>Desktop</c:v>
                </c:pt>
                <c:pt idx="2">
                  <c:v>Earphone</c:v>
                </c:pt>
                <c:pt idx="3">
                  <c:v>Headphones</c:v>
                </c:pt>
                <c:pt idx="4">
                  <c:v>Laptop HP xyz i5</c:v>
                </c:pt>
                <c:pt idx="5">
                  <c:v>Mouse</c:v>
                </c:pt>
                <c:pt idx="6">
                  <c:v>Rgb Keyboard</c:v>
                </c:pt>
                <c:pt idx="7">
                  <c:v>Smart Watch</c:v>
                </c:pt>
                <c:pt idx="8">
                  <c:v>Speakers</c:v>
                </c:pt>
                <c:pt idx="9">
                  <c:v>Tablets</c:v>
                </c:pt>
                <c:pt idx="10">
                  <c:v>Wireless Printer</c:v>
                </c:pt>
                <c:pt idx="11">
                  <c:v>Wireless charge</c:v>
                </c:pt>
                <c:pt idx="12">
                  <c:v>pc</c:v>
                </c:pt>
                <c:pt idx="13">
                  <c:v>Mobile</c:v>
                </c:pt>
                <c:pt idx="14">
                  <c:v>ElectricFan</c:v>
                </c:pt>
              </c:strCache>
            </c:strRef>
          </c:cat>
          <c:val>
            <c:numRef>
              <c:f>Pivot!$P$26:$P$40</c:f>
              <c:numCache>
                <c:formatCode>General</c:formatCode>
                <c:ptCount val="15"/>
                <c:pt idx="0">
                  <c:v>-115</c:v>
                </c:pt>
                <c:pt idx="1">
                  <c:v>598</c:v>
                </c:pt>
                <c:pt idx="2">
                  <c:v>605</c:v>
                </c:pt>
                <c:pt idx="3">
                  <c:v>392</c:v>
                </c:pt>
                <c:pt idx="4">
                  <c:v>331</c:v>
                </c:pt>
                <c:pt idx="5">
                  <c:v>1254</c:v>
                </c:pt>
                <c:pt idx="6">
                  <c:v>504</c:v>
                </c:pt>
                <c:pt idx="7">
                  <c:v>1109</c:v>
                </c:pt>
                <c:pt idx="8">
                  <c:v>450</c:v>
                </c:pt>
                <c:pt idx="9">
                  <c:v>236</c:v>
                </c:pt>
                <c:pt idx="10">
                  <c:v>0</c:v>
                </c:pt>
                <c:pt idx="11">
                  <c:v>200</c:v>
                </c:pt>
                <c:pt idx="12">
                  <c:v>246</c:v>
                </c:pt>
                <c:pt idx="13">
                  <c:v>280</c:v>
                </c:pt>
                <c:pt idx="14">
                  <c:v>580</c:v>
                </c:pt>
              </c:numCache>
            </c:numRef>
          </c:val>
          <c:extLst>
            <c:ext xmlns:c16="http://schemas.microsoft.com/office/drawing/2014/chart" uri="{C3380CC4-5D6E-409C-BE32-E72D297353CC}">
              <c16:uniqueId val="{00000000-04E8-4AA3-BCC2-862DEC1C5B98}"/>
            </c:ext>
          </c:extLst>
        </c:ser>
        <c:ser>
          <c:idx val="1"/>
          <c:order val="1"/>
          <c:tx>
            <c:strRef>
              <c:f>Pivot!$Q$25</c:f>
              <c:strCache>
                <c:ptCount val="1"/>
                <c:pt idx="0">
                  <c:v>Sum of Stock Amt.</c:v>
                </c:pt>
              </c:strCache>
            </c:strRef>
          </c:tx>
          <c:spPr>
            <a:solidFill>
              <a:schemeClr val="accent2"/>
            </a:solidFill>
            <a:ln>
              <a:noFill/>
            </a:ln>
            <a:effectLst/>
            <a:sp3d/>
          </c:spPr>
          <c:invertIfNegative val="0"/>
          <c:cat>
            <c:strRef>
              <c:f>Pivot!$O$26:$O$40</c:f>
              <c:strCache>
                <c:ptCount val="15"/>
                <c:pt idx="0">
                  <c:v>Camera</c:v>
                </c:pt>
                <c:pt idx="1">
                  <c:v>Desktop</c:v>
                </c:pt>
                <c:pt idx="2">
                  <c:v>Earphone</c:v>
                </c:pt>
                <c:pt idx="3">
                  <c:v>Headphones</c:v>
                </c:pt>
                <c:pt idx="4">
                  <c:v>Laptop HP xyz i5</c:v>
                </c:pt>
                <c:pt idx="5">
                  <c:v>Mouse</c:v>
                </c:pt>
                <c:pt idx="6">
                  <c:v>Rgb Keyboard</c:v>
                </c:pt>
                <c:pt idx="7">
                  <c:v>Smart Watch</c:v>
                </c:pt>
                <c:pt idx="8">
                  <c:v>Speakers</c:v>
                </c:pt>
                <c:pt idx="9">
                  <c:v>Tablets</c:v>
                </c:pt>
                <c:pt idx="10">
                  <c:v>Wireless Printer</c:v>
                </c:pt>
                <c:pt idx="11">
                  <c:v>Wireless charge</c:v>
                </c:pt>
                <c:pt idx="12">
                  <c:v>pc</c:v>
                </c:pt>
                <c:pt idx="13">
                  <c:v>Mobile</c:v>
                </c:pt>
                <c:pt idx="14">
                  <c:v>ElectricFan</c:v>
                </c:pt>
              </c:strCache>
            </c:strRef>
          </c:cat>
          <c:val>
            <c:numRef>
              <c:f>Pivot!$Q$26:$Q$40</c:f>
              <c:numCache>
                <c:formatCode>General</c:formatCode>
                <c:ptCount val="15"/>
                <c:pt idx="0">
                  <c:v>-5980000</c:v>
                </c:pt>
                <c:pt idx="1">
                  <c:v>12558000</c:v>
                </c:pt>
                <c:pt idx="2">
                  <c:v>242000</c:v>
                </c:pt>
                <c:pt idx="3">
                  <c:v>313208</c:v>
                </c:pt>
                <c:pt idx="4">
                  <c:v>11419500</c:v>
                </c:pt>
                <c:pt idx="5">
                  <c:v>438900</c:v>
                </c:pt>
                <c:pt idx="6">
                  <c:v>171360</c:v>
                </c:pt>
                <c:pt idx="7">
                  <c:v>1086820</c:v>
                </c:pt>
                <c:pt idx="8">
                  <c:v>301500</c:v>
                </c:pt>
                <c:pt idx="9">
                  <c:v>5546000</c:v>
                </c:pt>
                <c:pt idx="10">
                  <c:v>0</c:v>
                </c:pt>
                <c:pt idx="11">
                  <c:v>60000</c:v>
                </c:pt>
                <c:pt idx="12">
                  <c:v>121278</c:v>
                </c:pt>
                <c:pt idx="13">
                  <c:v>2800000</c:v>
                </c:pt>
                <c:pt idx="14">
                  <c:v>580000</c:v>
                </c:pt>
              </c:numCache>
            </c:numRef>
          </c:val>
          <c:extLst>
            <c:ext xmlns:c16="http://schemas.microsoft.com/office/drawing/2014/chart" uri="{C3380CC4-5D6E-409C-BE32-E72D297353CC}">
              <c16:uniqueId val="{00000003-8FBF-40B9-9A5A-FEB13DE5A222}"/>
            </c:ext>
          </c:extLst>
        </c:ser>
        <c:dLbls>
          <c:showLegendKey val="0"/>
          <c:showVal val="0"/>
          <c:showCatName val="0"/>
          <c:showSerName val="0"/>
          <c:showPercent val="0"/>
          <c:showBubbleSize val="0"/>
        </c:dLbls>
        <c:gapWidth val="150"/>
        <c:shape val="box"/>
        <c:axId val="701404208"/>
        <c:axId val="701405168"/>
        <c:axId val="0"/>
      </c:bar3DChart>
      <c:catAx>
        <c:axId val="70140420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1405168"/>
        <c:crosses val="autoZero"/>
        <c:auto val="1"/>
        <c:lblAlgn val="ctr"/>
        <c:lblOffset val="100"/>
        <c:noMultiLvlLbl val="0"/>
      </c:catAx>
      <c:valAx>
        <c:axId val="7014051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140420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xVal>
            <c:numRef>
              <c:f>Pivot!$D$36:$D$50</c:f>
              <c:numCache>
                <c:formatCode>General</c:formatCode>
                <c:ptCount val="15"/>
                <c:pt idx="0">
                  <c:v>1300000</c:v>
                </c:pt>
                <c:pt idx="1">
                  <c:v>42000</c:v>
                </c:pt>
                <c:pt idx="2">
                  <c:v>18217.199999999997</c:v>
                </c:pt>
                <c:pt idx="3">
                  <c:v>1380000</c:v>
                </c:pt>
                <c:pt idx="4">
                  <c:v>1720</c:v>
                </c:pt>
                <c:pt idx="5">
                  <c:v>3740</c:v>
                </c:pt>
                <c:pt idx="6">
                  <c:v>39788</c:v>
                </c:pt>
                <c:pt idx="7">
                  <c:v>6700</c:v>
                </c:pt>
                <c:pt idx="8">
                  <c:v>300800</c:v>
                </c:pt>
                <c:pt idx="9">
                  <c:v>4000</c:v>
                </c:pt>
                <c:pt idx="10">
                  <c:v>10000</c:v>
                </c:pt>
                <c:pt idx="11">
                  <c:v>10438</c:v>
                </c:pt>
                <c:pt idx="12">
                  <c:v>40000</c:v>
                </c:pt>
              </c:numCache>
            </c:numRef>
          </c:xVal>
          <c:yVal>
            <c:numRef>
              <c:f>Pivot!$E$36:$E$50</c:f>
              <c:numCache>
                <c:formatCode>General</c:formatCode>
                <c:ptCount val="15"/>
                <c:pt idx="0">
                  <c:v>7800000</c:v>
                </c:pt>
                <c:pt idx="1">
                  <c:v>252000</c:v>
                </c:pt>
                <c:pt idx="2">
                  <c:v>109303.2</c:v>
                </c:pt>
                <c:pt idx="3">
                  <c:v>8280000</c:v>
                </c:pt>
                <c:pt idx="4">
                  <c:v>10320</c:v>
                </c:pt>
                <c:pt idx="5">
                  <c:v>22440</c:v>
                </c:pt>
                <c:pt idx="6">
                  <c:v>238728</c:v>
                </c:pt>
                <c:pt idx="7">
                  <c:v>40200</c:v>
                </c:pt>
                <c:pt idx="8">
                  <c:v>1804800</c:v>
                </c:pt>
                <c:pt idx="9">
                  <c:v>24000</c:v>
                </c:pt>
                <c:pt idx="10">
                  <c:v>40000</c:v>
                </c:pt>
                <c:pt idx="11">
                  <c:v>27200</c:v>
                </c:pt>
                <c:pt idx="12">
                  <c:v>240000</c:v>
                </c:pt>
              </c:numCache>
            </c:numRef>
          </c:yVal>
          <c:smooth val="0"/>
          <c:extLst>
            <c:ext xmlns:c16="http://schemas.microsoft.com/office/drawing/2014/chart" uri="{C3380CC4-5D6E-409C-BE32-E72D297353CC}">
              <c16:uniqueId val="{00000000-FCCF-416D-B956-3196F7BC949B}"/>
            </c:ext>
          </c:extLst>
        </c:ser>
        <c:dLbls>
          <c:showLegendKey val="0"/>
          <c:showVal val="0"/>
          <c:showCatName val="0"/>
          <c:showSerName val="0"/>
          <c:showPercent val="0"/>
          <c:showBubbleSize val="0"/>
        </c:dLbls>
        <c:axId val="471879775"/>
        <c:axId val="471883135"/>
      </c:scatterChart>
      <c:valAx>
        <c:axId val="471879775"/>
        <c:scaling>
          <c:orientation val="minMax"/>
        </c:scaling>
        <c:delete val="0"/>
        <c:axPos val="b"/>
        <c:majorGridlines>
          <c:spPr>
            <a:ln w="9525" cap="flat" cmpd="sng" algn="ctr">
              <a:solidFill>
                <a:schemeClr val="tx1">
                  <a:lumMod val="15000"/>
                  <a:lumOff val="85000"/>
                </a:schemeClr>
              </a:solidFill>
              <a:round/>
            </a:ln>
            <a:effectLst/>
          </c:spPr>
        </c:majorGridlines>
        <c:title>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883135"/>
        <c:crosses val="autoZero"/>
        <c:crossBetween val="midCat"/>
      </c:valAx>
      <c:valAx>
        <c:axId val="471883135"/>
        <c:scaling>
          <c:orientation val="minMax"/>
        </c:scaling>
        <c:delete val="0"/>
        <c:axPos val="l"/>
        <c:majorGridlines>
          <c:spPr>
            <a:ln w="9525" cap="flat" cmpd="sng" algn="ctr">
              <a:solidFill>
                <a:schemeClr val="tx1">
                  <a:lumMod val="15000"/>
                  <a:lumOff val="85000"/>
                </a:schemeClr>
              </a:solidFill>
              <a:round/>
            </a:ln>
            <a:effectLst/>
          </c:spPr>
        </c:majorGridlines>
        <c:title>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8797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hyperlink" Target="#Vendor!A1"/><Relationship Id="rId13" Type="http://schemas.openxmlformats.org/officeDocument/2006/relationships/chart" Target="../charts/chart3.xml"/><Relationship Id="rId3" Type="http://schemas.openxmlformats.org/officeDocument/2006/relationships/image" Target="../media/image1.png"/><Relationship Id="rId7" Type="http://schemas.openxmlformats.org/officeDocument/2006/relationships/hyperlink" Target="#Sales!A1"/><Relationship Id="rId12" Type="http://schemas.openxmlformats.org/officeDocument/2006/relationships/chart" Target="../charts/chart2.xml"/><Relationship Id="rId2" Type="http://schemas.openxmlformats.org/officeDocument/2006/relationships/hyperlink" Target="Customer.xlsx" TargetMode="External"/><Relationship Id="rId1" Type="http://schemas.openxmlformats.org/officeDocument/2006/relationships/hyperlink" Target="#Product!A1"/><Relationship Id="rId6" Type="http://schemas.openxmlformats.org/officeDocument/2006/relationships/hyperlink" Target="#inventory!A1"/><Relationship Id="rId11" Type="http://schemas.openxmlformats.org/officeDocument/2006/relationships/chart" Target="../charts/chart1.xml"/><Relationship Id="rId5" Type="http://schemas.openxmlformats.org/officeDocument/2006/relationships/hyperlink" Target="#Customer!A1"/><Relationship Id="rId10" Type="http://schemas.openxmlformats.org/officeDocument/2006/relationships/hyperlink" Target="#'New Entry'!A1"/><Relationship Id="rId4" Type="http://schemas.openxmlformats.org/officeDocument/2006/relationships/hyperlink" Target="#Dashboard!A1"/><Relationship Id="rId9" Type="http://schemas.openxmlformats.org/officeDocument/2006/relationships/hyperlink" Target="#Purchase!A1"/></Relationships>
</file>

<file path=xl/drawings/_rels/drawing2.xml.rels><?xml version="1.0" encoding="UTF-8" standalone="yes"?>
<Relationships xmlns="http://schemas.openxmlformats.org/package/2006/relationships"><Relationship Id="rId8" Type="http://schemas.openxmlformats.org/officeDocument/2006/relationships/hyperlink" Target="#Purchase!A1"/><Relationship Id="rId3" Type="http://schemas.openxmlformats.org/officeDocument/2006/relationships/image" Target="../media/image1.png"/><Relationship Id="rId7" Type="http://schemas.openxmlformats.org/officeDocument/2006/relationships/hyperlink" Target="#Vendor!A1"/><Relationship Id="rId2" Type="http://schemas.openxmlformats.org/officeDocument/2006/relationships/hyperlink" Target="Customer.xlsx" TargetMode="External"/><Relationship Id="rId1" Type="http://schemas.openxmlformats.org/officeDocument/2006/relationships/hyperlink" Target="#Product!A1"/><Relationship Id="rId6" Type="http://schemas.openxmlformats.org/officeDocument/2006/relationships/hyperlink" Target="#Sales!A1"/><Relationship Id="rId5" Type="http://schemas.openxmlformats.org/officeDocument/2006/relationships/hyperlink" Target="#inventory!A1"/><Relationship Id="rId4" Type="http://schemas.openxmlformats.org/officeDocument/2006/relationships/hyperlink" Target="#Dashboard!A1"/><Relationship Id="rId9" Type="http://schemas.openxmlformats.org/officeDocument/2006/relationships/hyperlink" Target="#'New Entry'!A1"/></Relationships>
</file>

<file path=xl/drawings/_rels/drawing3.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4" Type="http://schemas.openxmlformats.org/officeDocument/2006/relationships/chart" Target="../charts/chart7.xml"/></Relationships>
</file>

<file path=xl/drawings/_rels/drawing4.xml.rels><?xml version="1.0" encoding="UTF-8" standalone="yes"?>
<Relationships xmlns="http://schemas.openxmlformats.org/package/2006/relationships"><Relationship Id="rId8" Type="http://schemas.openxmlformats.org/officeDocument/2006/relationships/hyperlink" Target="#Vendor!A1"/><Relationship Id="rId3" Type="http://schemas.openxmlformats.org/officeDocument/2006/relationships/image" Target="../media/image1.png"/><Relationship Id="rId7" Type="http://schemas.openxmlformats.org/officeDocument/2006/relationships/hyperlink" Target="#Sales!A1"/><Relationship Id="rId2" Type="http://schemas.openxmlformats.org/officeDocument/2006/relationships/hyperlink" Target="Customer.xlsx" TargetMode="External"/><Relationship Id="rId1" Type="http://schemas.openxmlformats.org/officeDocument/2006/relationships/hyperlink" Target="#Product!A1"/><Relationship Id="rId6" Type="http://schemas.openxmlformats.org/officeDocument/2006/relationships/hyperlink" Target="#inventory!A1"/><Relationship Id="rId5" Type="http://schemas.openxmlformats.org/officeDocument/2006/relationships/hyperlink" Target="#Customer!A1"/><Relationship Id="rId10" Type="http://schemas.openxmlformats.org/officeDocument/2006/relationships/hyperlink" Target="#'New Entry'!A1"/><Relationship Id="rId4" Type="http://schemas.openxmlformats.org/officeDocument/2006/relationships/hyperlink" Target="#Dashboard!A1"/><Relationship Id="rId9" Type="http://schemas.openxmlformats.org/officeDocument/2006/relationships/hyperlink" Target="#Purchase!A1"/></Relationships>
</file>

<file path=xl/drawings/_rels/drawing5.xml.rels><?xml version="1.0" encoding="UTF-8" standalone="yes"?>
<Relationships xmlns="http://schemas.openxmlformats.org/package/2006/relationships"><Relationship Id="rId8" Type="http://schemas.openxmlformats.org/officeDocument/2006/relationships/hyperlink" Target="#Vendor!A1"/><Relationship Id="rId3" Type="http://schemas.openxmlformats.org/officeDocument/2006/relationships/image" Target="../media/image1.png"/><Relationship Id="rId7" Type="http://schemas.openxmlformats.org/officeDocument/2006/relationships/hyperlink" Target="#Sales!A1"/><Relationship Id="rId2" Type="http://schemas.openxmlformats.org/officeDocument/2006/relationships/hyperlink" Target="Customer.xlsx" TargetMode="External"/><Relationship Id="rId1" Type="http://schemas.openxmlformats.org/officeDocument/2006/relationships/hyperlink" Target="#Product!A1"/><Relationship Id="rId6" Type="http://schemas.openxmlformats.org/officeDocument/2006/relationships/hyperlink" Target="#inventory!A1"/><Relationship Id="rId5" Type="http://schemas.openxmlformats.org/officeDocument/2006/relationships/hyperlink" Target="#Customer!A1"/><Relationship Id="rId10" Type="http://schemas.openxmlformats.org/officeDocument/2006/relationships/hyperlink" Target="#'New Entry'!A1"/><Relationship Id="rId4" Type="http://schemas.openxmlformats.org/officeDocument/2006/relationships/hyperlink" Target="#Dashboard!A1"/><Relationship Id="rId9" Type="http://schemas.openxmlformats.org/officeDocument/2006/relationships/hyperlink" Target="#Purchase!A1"/></Relationships>
</file>

<file path=xl/drawings/_rels/drawing6.xml.rels><?xml version="1.0" encoding="UTF-8" standalone="yes"?>
<Relationships xmlns="http://schemas.openxmlformats.org/package/2006/relationships"><Relationship Id="rId8" Type="http://schemas.openxmlformats.org/officeDocument/2006/relationships/hyperlink" Target="#Vendor!A1"/><Relationship Id="rId3" Type="http://schemas.openxmlformats.org/officeDocument/2006/relationships/image" Target="../media/image1.png"/><Relationship Id="rId7" Type="http://schemas.openxmlformats.org/officeDocument/2006/relationships/hyperlink" Target="#Sales!A1"/><Relationship Id="rId2" Type="http://schemas.openxmlformats.org/officeDocument/2006/relationships/hyperlink" Target="Customer.xlsx" TargetMode="External"/><Relationship Id="rId1" Type="http://schemas.openxmlformats.org/officeDocument/2006/relationships/hyperlink" Target="#Product!A1"/><Relationship Id="rId6" Type="http://schemas.openxmlformats.org/officeDocument/2006/relationships/hyperlink" Target="#inventory!A1"/><Relationship Id="rId5" Type="http://schemas.openxmlformats.org/officeDocument/2006/relationships/hyperlink" Target="#Customer!A1"/><Relationship Id="rId10" Type="http://schemas.openxmlformats.org/officeDocument/2006/relationships/hyperlink" Target="#'New Entry'!A1"/><Relationship Id="rId4" Type="http://schemas.openxmlformats.org/officeDocument/2006/relationships/hyperlink" Target="#Dashboard!A1"/><Relationship Id="rId9" Type="http://schemas.openxmlformats.org/officeDocument/2006/relationships/hyperlink" Target="#Purchase!A1"/></Relationships>
</file>

<file path=xl/drawings/_rels/drawing7.xml.rels><?xml version="1.0" encoding="UTF-8" standalone="yes"?>
<Relationships xmlns="http://schemas.openxmlformats.org/package/2006/relationships"><Relationship Id="rId8" Type="http://schemas.openxmlformats.org/officeDocument/2006/relationships/hyperlink" Target="#Vendor!A1"/><Relationship Id="rId3" Type="http://schemas.openxmlformats.org/officeDocument/2006/relationships/image" Target="../media/image1.png"/><Relationship Id="rId7" Type="http://schemas.openxmlformats.org/officeDocument/2006/relationships/hyperlink" Target="#Sales!A1"/><Relationship Id="rId2" Type="http://schemas.openxmlformats.org/officeDocument/2006/relationships/hyperlink" Target="Customer.xlsx" TargetMode="External"/><Relationship Id="rId1" Type="http://schemas.openxmlformats.org/officeDocument/2006/relationships/hyperlink" Target="#Product!A1"/><Relationship Id="rId6" Type="http://schemas.openxmlformats.org/officeDocument/2006/relationships/hyperlink" Target="#inventory!A1"/><Relationship Id="rId5" Type="http://schemas.openxmlformats.org/officeDocument/2006/relationships/hyperlink" Target="#Customer!A1"/><Relationship Id="rId10" Type="http://schemas.openxmlformats.org/officeDocument/2006/relationships/hyperlink" Target="#'New Entry'!A1"/><Relationship Id="rId4" Type="http://schemas.openxmlformats.org/officeDocument/2006/relationships/hyperlink" Target="#Dashboard!A1"/><Relationship Id="rId9" Type="http://schemas.openxmlformats.org/officeDocument/2006/relationships/hyperlink" Target="#Purchase!A1"/></Relationships>
</file>

<file path=xl/drawings/_rels/drawing8.xml.rels><?xml version="1.0" encoding="UTF-8" standalone="yes"?>
<Relationships xmlns="http://schemas.openxmlformats.org/package/2006/relationships"><Relationship Id="rId8" Type="http://schemas.openxmlformats.org/officeDocument/2006/relationships/hyperlink" Target="#Vendor!A1"/><Relationship Id="rId3" Type="http://schemas.openxmlformats.org/officeDocument/2006/relationships/image" Target="../media/image1.png"/><Relationship Id="rId7" Type="http://schemas.openxmlformats.org/officeDocument/2006/relationships/hyperlink" Target="#Sales!A1"/><Relationship Id="rId2" Type="http://schemas.openxmlformats.org/officeDocument/2006/relationships/hyperlink" Target="Customer.xlsx" TargetMode="External"/><Relationship Id="rId1" Type="http://schemas.openxmlformats.org/officeDocument/2006/relationships/hyperlink" Target="#Product!A1"/><Relationship Id="rId6" Type="http://schemas.openxmlformats.org/officeDocument/2006/relationships/hyperlink" Target="#inventory!A1"/><Relationship Id="rId5" Type="http://schemas.openxmlformats.org/officeDocument/2006/relationships/hyperlink" Target="#Customer!A1"/><Relationship Id="rId10" Type="http://schemas.openxmlformats.org/officeDocument/2006/relationships/hyperlink" Target="#'New Entry'!A1"/><Relationship Id="rId4" Type="http://schemas.openxmlformats.org/officeDocument/2006/relationships/hyperlink" Target="#Dashboard!A1"/><Relationship Id="rId9" Type="http://schemas.openxmlformats.org/officeDocument/2006/relationships/hyperlink" Target="#Purchase!A1"/></Relationships>
</file>

<file path=xl/drawings/_rels/drawing9.xml.rels><?xml version="1.0" encoding="UTF-8" standalone="yes"?>
<Relationships xmlns="http://schemas.openxmlformats.org/package/2006/relationships"><Relationship Id="rId8" Type="http://schemas.openxmlformats.org/officeDocument/2006/relationships/hyperlink" Target="#Vendor!A1"/><Relationship Id="rId3" Type="http://schemas.openxmlformats.org/officeDocument/2006/relationships/image" Target="../media/image1.png"/><Relationship Id="rId7" Type="http://schemas.openxmlformats.org/officeDocument/2006/relationships/hyperlink" Target="#Sales!A1"/><Relationship Id="rId2" Type="http://schemas.openxmlformats.org/officeDocument/2006/relationships/hyperlink" Target="Customer.xlsx" TargetMode="External"/><Relationship Id="rId1" Type="http://schemas.openxmlformats.org/officeDocument/2006/relationships/hyperlink" Target="#Product!A1"/><Relationship Id="rId6" Type="http://schemas.openxmlformats.org/officeDocument/2006/relationships/hyperlink" Target="#inventory!A1"/><Relationship Id="rId5" Type="http://schemas.openxmlformats.org/officeDocument/2006/relationships/hyperlink" Target="#Customer!A1"/><Relationship Id="rId10" Type="http://schemas.openxmlformats.org/officeDocument/2006/relationships/hyperlink" Target="#'New Entry'!A1"/><Relationship Id="rId4" Type="http://schemas.openxmlformats.org/officeDocument/2006/relationships/hyperlink" Target="#Dashboard!A1"/><Relationship Id="rId9" Type="http://schemas.openxmlformats.org/officeDocument/2006/relationships/hyperlink" Target="#Purchase!A1"/></Relationships>
</file>

<file path=xl/drawings/drawing1.xml><?xml version="1.0" encoding="utf-8"?>
<xdr:wsDr xmlns:xdr="http://schemas.openxmlformats.org/drawingml/2006/spreadsheetDrawing" xmlns:a="http://schemas.openxmlformats.org/drawingml/2006/main">
  <xdr:twoCellAnchor>
    <xdr:from>
      <xdr:col>3</xdr:col>
      <xdr:colOff>0</xdr:colOff>
      <xdr:row>1</xdr:row>
      <xdr:rowOff>0</xdr:rowOff>
    </xdr:from>
    <xdr:to>
      <xdr:col>19</xdr:col>
      <xdr:colOff>7620</xdr:colOff>
      <xdr:row>2</xdr:row>
      <xdr:rowOff>0</xdr:rowOff>
    </xdr:to>
    <xdr:sp macro="" textlink="">
      <xdr:nvSpPr>
        <xdr:cNvPr id="20" name="Rectangle 19">
          <a:extLst>
            <a:ext uri="{FF2B5EF4-FFF2-40B4-BE49-F238E27FC236}">
              <a16:creationId xmlns:a16="http://schemas.microsoft.com/office/drawing/2014/main" id="{684D7048-64F1-2F8F-50A5-D79F087D212A}"/>
            </a:ext>
          </a:extLst>
        </xdr:cNvPr>
        <xdr:cNvSpPr/>
      </xdr:nvSpPr>
      <xdr:spPr>
        <a:xfrm>
          <a:off x="2392680" y="129540"/>
          <a:ext cx="9761220" cy="487680"/>
        </a:xfrm>
        <a:prstGeom prst="rect">
          <a:avLst/>
        </a:prstGeom>
        <a:solidFill>
          <a:srgbClr val="FFC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4000" b="1">
              <a:solidFill>
                <a:schemeClr val="tx1"/>
              </a:solidFill>
              <a:latin typeface="+mn-lt"/>
              <a:ea typeface="+mn-lt"/>
              <a:cs typeface="+mn-lt"/>
            </a:rPr>
            <a:t>DashBoard</a:t>
          </a:r>
        </a:p>
      </xdr:txBody>
    </xdr:sp>
    <xdr:clientData/>
  </xdr:twoCellAnchor>
  <xdr:twoCellAnchor>
    <xdr:from>
      <xdr:col>2</xdr:col>
      <xdr:colOff>335280</xdr:colOff>
      <xdr:row>2</xdr:row>
      <xdr:rowOff>179070</xdr:rowOff>
    </xdr:from>
    <xdr:to>
      <xdr:col>5</xdr:col>
      <xdr:colOff>236220</xdr:colOff>
      <xdr:row>5</xdr:row>
      <xdr:rowOff>179070</xdr:rowOff>
    </xdr:to>
    <xdr:grpSp>
      <xdr:nvGrpSpPr>
        <xdr:cNvPr id="9" name="Group 8">
          <a:extLst>
            <a:ext uri="{FF2B5EF4-FFF2-40B4-BE49-F238E27FC236}">
              <a16:creationId xmlns:a16="http://schemas.microsoft.com/office/drawing/2014/main" id="{AD164844-33AE-6C00-F2D8-4185B63F20BB}"/>
            </a:ext>
          </a:extLst>
        </xdr:cNvPr>
        <xdr:cNvGrpSpPr/>
      </xdr:nvGrpSpPr>
      <xdr:grpSpPr>
        <a:xfrm>
          <a:off x="2385060" y="796290"/>
          <a:ext cx="1463040" cy="548640"/>
          <a:chOff x="2385060" y="815340"/>
          <a:chExt cx="1493520" cy="548640"/>
        </a:xfrm>
      </xdr:grpSpPr>
      <xdr:sp macro="" textlink="">
        <xdr:nvSpPr>
          <xdr:cNvPr id="3" name="Rectangle 2">
            <a:extLst>
              <a:ext uri="{FF2B5EF4-FFF2-40B4-BE49-F238E27FC236}">
                <a16:creationId xmlns:a16="http://schemas.microsoft.com/office/drawing/2014/main" id="{14C6C2B1-8BC9-5645-5032-8336DB3016B2}"/>
              </a:ext>
            </a:extLst>
          </xdr:cNvPr>
          <xdr:cNvSpPr/>
        </xdr:nvSpPr>
        <xdr:spPr>
          <a:xfrm>
            <a:off x="2400300" y="815340"/>
            <a:ext cx="1478280" cy="548640"/>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bg1"/>
                </a:solidFill>
                <a:latin typeface="Arial Narrow" panose="020B0606020202030204" pitchFamily="34" charset="0"/>
              </a:rPr>
              <a:t>customer</a:t>
            </a:r>
          </a:p>
        </xdr:txBody>
      </xdr:sp>
      <xdr:sp macro="" textlink="">
        <xdr:nvSpPr>
          <xdr:cNvPr id="4" name="Rectangle 3">
            <a:extLst>
              <a:ext uri="{FF2B5EF4-FFF2-40B4-BE49-F238E27FC236}">
                <a16:creationId xmlns:a16="http://schemas.microsoft.com/office/drawing/2014/main" id="{947A3C21-966B-43A8-99F4-50AA8DA76817}"/>
              </a:ext>
            </a:extLst>
          </xdr:cNvPr>
          <xdr:cNvSpPr/>
        </xdr:nvSpPr>
        <xdr:spPr>
          <a:xfrm>
            <a:off x="2385060" y="815340"/>
            <a:ext cx="266700" cy="548640"/>
          </a:xfrm>
          <a:prstGeom prst="rect">
            <a:avLst/>
          </a:prstGeom>
          <a:solidFill>
            <a:srgbClr val="FFC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b="1">
              <a:solidFill>
                <a:schemeClr val="bg1"/>
              </a:solidFill>
              <a:latin typeface="Arial Narrow" panose="020B0606020202030204" pitchFamily="34" charset="0"/>
            </a:endParaRPr>
          </a:p>
        </xdr:txBody>
      </xdr:sp>
      <xdr:sp macro="" textlink="Pivot!C4">
        <xdr:nvSpPr>
          <xdr:cNvPr id="8" name="TextBox 7">
            <a:extLst>
              <a:ext uri="{FF2B5EF4-FFF2-40B4-BE49-F238E27FC236}">
                <a16:creationId xmlns:a16="http://schemas.microsoft.com/office/drawing/2014/main" id="{92B20AE0-1631-B1AC-5353-983AA770F216}"/>
              </a:ext>
            </a:extLst>
          </xdr:cNvPr>
          <xdr:cNvSpPr txBox="1"/>
        </xdr:nvSpPr>
        <xdr:spPr>
          <a:xfrm>
            <a:off x="2692061" y="1074420"/>
            <a:ext cx="1119502" cy="259080"/>
          </a:xfrm>
          <a:prstGeom prst="rect">
            <a:avLst/>
          </a:prstGeom>
          <a:solidFill>
            <a:srgbClr val="00B0F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714E1D70-2ED0-4D7B-B923-B5BA1C410056}" type="TxLink">
              <a:rPr lang="en-US" sz="1100" b="1" i="0" u="none" strike="noStrike">
                <a:solidFill>
                  <a:schemeClr val="bg1"/>
                </a:solidFill>
                <a:latin typeface="Arial Narrow" panose="020B0606020202030204" pitchFamily="34" charset="0"/>
                <a:cs typeface="Calibri"/>
              </a:rPr>
              <a:pPr algn="ctr"/>
              <a:t>14</a:t>
            </a:fld>
            <a:endParaRPr lang="en-US" sz="1100" b="1">
              <a:solidFill>
                <a:schemeClr val="bg1"/>
              </a:solidFill>
              <a:latin typeface="Arial Narrow" panose="020B0606020202030204" pitchFamily="34" charset="0"/>
            </a:endParaRPr>
          </a:p>
        </xdr:txBody>
      </xdr:sp>
    </xdr:grpSp>
    <xdr:clientData/>
  </xdr:twoCellAnchor>
  <xdr:twoCellAnchor>
    <xdr:from>
      <xdr:col>5</xdr:col>
      <xdr:colOff>387096</xdr:colOff>
      <xdr:row>2</xdr:row>
      <xdr:rowOff>179070</xdr:rowOff>
    </xdr:from>
    <xdr:to>
      <xdr:col>8</xdr:col>
      <xdr:colOff>21336</xdr:colOff>
      <xdr:row>5</xdr:row>
      <xdr:rowOff>179070</xdr:rowOff>
    </xdr:to>
    <xdr:grpSp>
      <xdr:nvGrpSpPr>
        <xdr:cNvPr id="11" name="Group 10">
          <a:extLst>
            <a:ext uri="{FF2B5EF4-FFF2-40B4-BE49-F238E27FC236}">
              <a16:creationId xmlns:a16="http://schemas.microsoft.com/office/drawing/2014/main" id="{937089E8-D76F-4A29-8BAD-DFF6BA150606}"/>
            </a:ext>
          </a:extLst>
        </xdr:cNvPr>
        <xdr:cNvGrpSpPr/>
      </xdr:nvGrpSpPr>
      <xdr:grpSpPr>
        <a:xfrm>
          <a:off x="3998976" y="796290"/>
          <a:ext cx="1463040" cy="548640"/>
          <a:chOff x="2385060" y="815340"/>
          <a:chExt cx="1493520" cy="548640"/>
        </a:xfrm>
      </xdr:grpSpPr>
      <xdr:sp macro="" textlink="">
        <xdr:nvSpPr>
          <xdr:cNvPr id="19" name="Rectangle 18">
            <a:extLst>
              <a:ext uri="{FF2B5EF4-FFF2-40B4-BE49-F238E27FC236}">
                <a16:creationId xmlns:a16="http://schemas.microsoft.com/office/drawing/2014/main" id="{9CA71EA9-137A-42A3-7E79-C447EB134A92}"/>
              </a:ext>
            </a:extLst>
          </xdr:cNvPr>
          <xdr:cNvSpPr/>
        </xdr:nvSpPr>
        <xdr:spPr>
          <a:xfrm>
            <a:off x="2400300" y="815340"/>
            <a:ext cx="1478280" cy="548640"/>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bg1"/>
                </a:solidFill>
                <a:latin typeface="Arial Narrow" panose="020B0606020202030204" pitchFamily="34" charset="0"/>
              </a:rPr>
              <a:t>Product</a:t>
            </a:r>
          </a:p>
        </xdr:txBody>
      </xdr:sp>
      <xdr:sp macro="" textlink="">
        <xdr:nvSpPr>
          <xdr:cNvPr id="21" name="Rectangle 20">
            <a:extLst>
              <a:ext uri="{FF2B5EF4-FFF2-40B4-BE49-F238E27FC236}">
                <a16:creationId xmlns:a16="http://schemas.microsoft.com/office/drawing/2014/main" id="{A49775EF-89E6-075A-7AD7-5016A8AFDDCD}"/>
              </a:ext>
            </a:extLst>
          </xdr:cNvPr>
          <xdr:cNvSpPr/>
        </xdr:nvSpPr>
        <xdr:spPr>
          <a:xfrm>
            <a:off x="2385060" y="815340"/>
            <a:ext cx="266700" cy="548640"/>
          </a:xfrm>
          <a:prstGeom prst="rect">
            <a:avLst/>
          </a:prstGeom>
          <a:solidFill>
            <a:srgbClr val="FF99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b="1">
              <a:solidFill>
                <a:schemeClr val="bg1"/>
              </a:solidFill>
              <a:latin typeface="Arial Narrow" panose="020B0606020202030204" pitchFamily="34" charset="0"/>
            </a:endParaRPr>
          </a:p>
        </xdr:txBody>
      </xdr:sp>
      <xdr:sp macro="" textlink="Pivot!C9">
        <xdr:nvSpPr>
          <xdr:cNvPr id="22" name="TextBox 21">
            <a:extLst>
              <a:ext uri="{FF2B5EF4-FFF2-40B4-BE49-F238E27FC236}">
                <a16:creationId xmlns:a16="http://schemas.microsoft.com/office/drawing/2014/main" id="{1C6FDC5D-D882-ED9F-3914-ABA280976037}"/>
              </a:ext>
            </a:extLst>
          </xdr:cNvPr>
          <xdr:cNvSpPr txBox="1"/>
        </xdr:nvSpPr>
        <xdr:spPr>
          <a:xfrm>
            <a:off x="2714283" y="1080951"/>
            <a:ext cx="1022604" cy="259080"/>
          </a:xfrm>
          <a:prstGeom prst="rect">
            <a:avLst/>
          </a:prstGeom>
          <a:solidFill>
            <a:srgbClr val="00B0F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F7FF5608-A6B7-4E18-8A8D-A8E36B393F2F}" type="TxLink">
              <a:rPr lang="en-US" sz="1100" b="0" i="0" u="none" strike="noStrike">
                <a:solidFill>
                  <a:schemeClr val="bg1"/>
                </a:solidFill>
                <a:latin typeface="Arial Narrow" panose="020B0606020202030204" pitchFamily="34" charset="0"/>
                <a:cs typeface="Calibri"/>
              </a:rPr>
              <a:pPr algn="ctr"/>
              <a:t>13</a:t>
            </a:fld>
            <a:endParaRPr lang="en-US" sz="1100" b="1">
              <a:solidFill>
                <a:schemeClr val="bg1"/>
              </a:solidFill>
              <a:latin typeface="Arial Narrow" panose="020B0606020202030204" pitchFamily="34" charset="0"/>
            </a:endParaRPr>
          </a:p>
        </xdr:txBody>
      </xdr:sp>
    </xdr:grpSp>
    <xdr:clientData/>
  </xdr:twoCellAnchor>
  <xdr:twoCellAnchor>
    <xdr:from>
      <xdr:col>8</xdr:col>
      <xdr:colOff>172212</xdr:colOff>
      <xdr:row>2</xdr:row>
      <xdr:rowOff>179070</xdr:rowOff>
    </xdr:from>
    <xdr:to>
      <xdr:col>10</xdr:col>
      <xdr:colOff>416052</xdr:colOff>
      <xdr:row>5</xdr:row>
      <xdr:rowOff>179070</xdr:rowOff>
    </xdr:to>
    <xdr:grpSp>
      <xdr:nvGrpSpPr>
        <xdr:cNvPr id="23" name="Group 22">
          <a:extLst>
            <a:ext uri="{FF2B5EF4-FFF2-40B4-BE49-F238E27FC236}">
              <a16:creationId xmlns:a16="http://schemas.microsoft.com/office/drawing/2014/main" id="{CAB0AC94-0DF5-43B0-AC78-341C59B8F23B}"/>
            </a:ext>
          </a:extLst>
        </xdr:cNvPr>
        <xdr:cNvGrpSpPr/>
      </xdr:nvGrpSpPr>
      <xdr:grpSpPr>
        <a:xfrm>
          <a:off x="5612892" y="796290"/>
          <a:ext cx="1463040" cy="548640"/>
          <a:chOff x="2385060" y="815340"/>
          <a:chExt cx="1493521" cy="548640"/>
        </a:xfrm>
      </xdr:grpSpPr>
      <xdr:sp macro="" textlink="">
        <xdr:nvSpPr>
          <xdr:cNvPr id="25" name="Rectangle 24">
            <a:extLst>
              <a:ext uri="{FF2B5EF4-FFF2-40B4-BE49-F238E27FC236}">
                <a16:creationId xmlns:a16="http://schemas.microsoft.com/office/drawing/2014/main" id="{14E1D898-9C7E-1268-1CEA-F5067D9B1583}"/>
              </a:ext>
            </a:extLst>
          </xdr:cNvPr>
          <xdr:cNvSpPr/>
        </xdr:nvSpPr>
        <xdr:spPr>
          <a:xfrm>
            <a:off x="2400301" y="815340"/>
            <a:ext cx="1478280" cy="548640"/>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bg1"/>
                </a:solidFill>
                <a:latin typeface="Arial Narrow" panose="020B0606020202030204" pitchFamily="34" charset="0"/>
              </a:rPr>
              <a:t>Purchase</a:t>
            </a:r>
            <a:r>
              <a:rPr lang="en-US" sz="1100" b="1" baseline="0">
                <a:solidFill>
                  <a:schemeClr val="bg1"/>
                </a:solidFill>
                <a:latin typeface="Arial Narrow" panose="020B0606020202030204" pitchFamily="34" charset="0"/>
              </a:rPr>
              <a:t> Amt.</a:t>
            </a:r>
            <a:endParaRPr lang="en-US" sz="1100" b="1">
              <a:solidFill>
                <a:schemeClr val="bg1"/>
              </a:solidFill>
              <a:latin typeface="Arial Narrow" panose="020B0606020202030204" pitchFamily="34" charset="0"/>
            </a:endParaRPr>
          </a:p>
        </xdr:txBody>
      </xdr:sp>
      <xdr:sp macro="" textlink="">
        <xdr:nvSpPr>
          <xdr:cNvPr id="26" name="Rectangle 25">
            <a:extLst>
              <a:ext uri="{FF2B5EF4-FFF2-40B4-BE49-F238E27FC236}">
                <a16:creationId xmlns:a16="http://schemas.microsoft.com/office/drawing/2014/main" id="{12E29CE1-FC19-2C0F-0782-A2359AF844F8}"/>
              </a:ext>
            </a:extLst>
          </xdr:cNvPr>
          <xdr:cNvSpPr/>
        </xdr:nvSpPr>
        <xdr:spPr>
          <a:xfrm>
            <a:off x="2385060" y="815340"/>
            <a:ext cx="266700" cy="548640"/>
          </a:xfrm>
          <a:prstGeom prst="rect">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b="1">
              <a:solidFill>
                <a:schemeClr val="bg1"/>
              </a:solidFill>
              <a:latin typeface="Arial Narrow" panose="020B0606020202030204" pitchFamily="34" charset="0"/>
            </a:endParaRPr>
          </a:p>
        </xdr:txBody>
      </xdr:sp>
      <xdr:sp macro="" textlink="Pivot!C13">
        <xdr:nvSpPr>
          <xdr:cNvPr id="27" name="TextBox 26">
            <a:extLst>
              <a:ext uri="{FF2B5EF4-FFF2-40B4-BE49-F238E27FC236}">
                <a16:creationId xmlns:a16="http://schemas.microsoft.com/office/drawing/2014/main" id="{BFD8D028-C1C5-10AD-029E-424572B28CCA}"/>
              </a:ext>
            </a:extLst>
          </xdr:cNvPr>
          <xdr:cNvSpPr txBox="1"/>
        </xdr:nvSpPr>
        <xdr:spPr>
          <a:xfrm>
            <a:off x="2666532" y="1074420"/>
            <a:ext cx="1120140" cy="259080"/>
          </a:xfrm>
          <a:prstGeom prst="rect">
            <a:avLst/>
          </a:prstGeom>
          <a:solidFill>
            <a:srgbClr val="00B0F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7515B462-AE73-419A-9155-1253B72AD039}" type="TxLink">
              <a:rPr lang="en-US" sz="1100" b="0" i="0" u="none" strike="noStrike">
                <a:solidFill>
                  <a:schemeClr val="bg1"/>
                </a:solidFill>
                <a:latin typeface="Arial Narrow" panose="020B0606020202030204" pitchFamily="34" charset="0"/>
                <a:cs typeface="Calibri"/>
              </a:rPr>
              <a:pPr algn="ctr"/>
              <a:t>6472909</a:t>
            </a:fld>
            <a:endParaRPr lang="en-US" sz="1100" b="1">
              <a:solidFill>
                <a:schemeClr val="bg1"/>
              </a:solidFill>
              <a:latin typeface="Arial Narrow" panose="020B0606020202030204" pitchFamily="34" charset="0"/>
            </a:endParaRPr>
          </a:p>
        </xdr:txBody>
      </xdr:sp>
    </xdr:grpSp>
    <xdr:clientData/>
  </xdr:twoCellAnchor>
  <xdr:twoCellAnchor>
    <xdr:from>
      <xdr:col>10</xdr:col>
      <xdr:colOff>566928</xdr:colOff>
      <xdr:row>2</xdr:row>
      <xdr:rowOff>179070</xdr:rowOff>
    </xdr:from>
    <xdr:to>
      <xdr:col>13</xdr:col>
      <xdr:colOff>201168</xdr:colOff>
      <xdr:row>5</xdr:row>
      <xdr:rowOff>179070</xdr:rowOff>
    </xdr:to>
    <xdr:grpSp>
      <xdr:nvGrpSpPr>
        <xdr:cNvPr id="28" name="Group 27">
          <a:extLst>
            <a:ext uri="{FF2B5EF4-FFF2-40B4-BE49-F238E27FC236}">
              <a16:creationId xmlns:a16="http://schemas.microsoft.com/office/drawing/2014/main" id="{3B215743-F0B9-4226-B650-9BF4BC8E0BB5}"/>
            </a:ext>
          </a:extLst>
        </xdr:cNvPr>
        <xdr:cNvGrpSpPr/>
      </xdr:nvGrpSpPr>
      <xdr:grpSpPr>
        <a:xfrm>
          <a:off x="7226808" y="796290"/>
          <a:ext cx="1463040" cy="548640"/>
          <a:chOff x="2385060" y="815340"/>
          <a:chExt cx="1493520" cy="548640"/>
        </a:xfrm>
      </xdr:grpSpPr>
      <xdr:sp macro="" textlink="">
        <xdr:nvSpPr>
          <xdr:cNvPr id="29" name="Rectangle 28">
            <a:extLst>
              <a:ext uri="{FF2B5EF4-FFF2-40B4-BE49-F238E27FC236}">
                <a16:creationId xmlns:a16="http://schemas.microsoft.com/office/drawing/2014/main" id="{C1D9E36E-ACDA-FBC1-82EF-8C622771B73C}"/>
              </a:ext>
            </a:extLst>
          </xdr:cNvPr>
          <xdr:cNvSpPr/>
        </xdr:nvSpPr>
        <xdr:spPr>
          <a:xfrm>
            <a:off x="2400300" y="815340"/>
            <a:ext cx="1478280" cy="548640"/>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bg1"/>
                </a:solidFill>
                <a:latin typeface="Arial Narrow" panose="020B0606020202030204" pitchFamily="34" charset="0"/>
              </a:rPr>
              <a:t>Sales Amt.</a:t>
            </a:r>
          </a:p>
        </xdr:txBody>
      </xdr:sp>
      <xdr:sp macro="" textlink="">
        <xdr:nvSpPr>
          <xdr:cNvPr id="30" name="Rectangle 29">
            <a:extLst>
              <a:ext uri="{FF2B5EF4-FFF2-40B4-BE49-F238E27FC236}">
                <a16:creationId xmlns:a16="http://schemas.microsoft.com/office/drawing/2014/main" id="{816377D9-DECD-20EA-3FF8-A852F337F7A1}"/>
              </a:ext>
            </a:extLst>
          </xdr:cNvPr>
          <xdr:cNvSpPr/>
        </xdr:nvSpPr>
        <xdr:spPr>
          <a:xfrm>
            <a:off x="2385060" y="815340"/>
            <a:ext cx="266700" cy="548640"/>
          </a:xfrm>
          <a:prstGeom prst="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b="1">
              <a:solidFill>
                <a:schemeClr val="bg1"/>
              </a:solidFill>
              <a:latin typeface="Arial Narrow" panose="020B0606020202030204" pitchFamily="34" charset="0"/>
            </a:endParaRPr>
          </a:p>
        </xdr:txBody>
      </xdr:sp>
      <xdr:sp macro="" textlink="Pivot!C17">
        <xdr:nvSpPr>
          <xdr:cNvPr id="31" name="TextBox 30">
            <a:extLst>
              <a:ext uri="{FF2B5EF4-FFF2-40B4-BE49-F238E27FC236}">
                <a16:creationId xmlns:a16="http://schemas.microsoft.com/office/drawing/2014/main" id="{9DF67526-A807-0EC0-3239-222A96D1C9FD}"/>
              </a:ext>
            </a:extLst>
          </xdr:cNvPr>
          <xdr:cNvSpPr txBox="1"/>
        </xdr:nvSpPr>
        <xdr:spPr>
          <a:xfrm>
            <a:off x="2668446" y="1074420"/>
            <a:ext cx="1139286" cy="259080"/>
          </a:xfrm>
          <a:prstGeom prst="rect">
            <a:avLst/>
          </a:prstGeom>
          <a:solidFill>
            <a:srgbClr val="00B0F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81CD058B-3800-40E3-A338-D29CB2E70A3C}" type="TxLink">
              <a:rPr lang="en-US" sz="1100" b="0" i="0" u="none" strike="noStrike">
                <a:solidFill>
                  <a:schemeClr val="bg1"/>
                </a:solidFill>
                <a:latin typeface="Arial Narrow" panose="020B0606020202030204" pitchFamily="34" charset="0"/>
                <a:cs typeface="Calibri"/>
              </a:rPr>
              <a:pPr algn="ctr"/>
              <a:t>3106965.2</a:t>
            </a:fld>
            <a:endParaRPr lang="en-US" sz="1100" b="1">
              <a:solidFill>
                <a:schemeClr val="bg1"/>
              </a:solidFill>
              <a:latin typeface="Arial Narrow" panose="020B0606020202030204" pitchFamily="34" charset="0"/>
            </a:endParaRPr>
          </a:p>
        </xdr:txBody>
      </xdr:sp>
    </xdr:grpSp>
    <xdr:clientData/>
  </xdr:twoCellAnchor>
  <xdr:twoCellAnchor>
    <xdr:from>
      <xdr:col>13</xdr:col>
      <xdr:colOff>352044</xdr:colOff>
      <xdr:row>2</xdr:row>
      <xdr:rowOff>179070</xdr:rowOff>
    </xdr:from>
    <xdr:to>
      <xdr:col>15</xdr:col>
      <xdr:colOff>595884</xdr:colOff>
      <xdr:row>5</xdr:row>
      <xdr:rowOff>179070</xdr:rowOff>
    </xdr:to>
    <xdr:grpSp>
      <xdr:nvGrpSpPr>
        <xdr:cNvPr id="32" name="Group 31">
          <a:extLst>
            <a:ext uri="{FF2B5EF4-FFF2-40B4-BE49-F238E27FC236}">
              <a16:creationId xmlns:a16="http://schemas.microsoft.com/office/drawing/2014/main" id="{B7084EA3-1C59-4A22-A72D-7D00BD9A8D82}"/>
            </a:ext>
          </a:extLst>
        </xdr:cNvPr>
        <xdr:cNvGrpSpPr/>
      </xdr:nvGrpSpPr>
      <xdr:grpSpPr>
        <a:xfrm>
          <a:off x="8840724" y="796290"/>
          <a:ext cx="1463040" cy="548640"/>
          <a:chOff x="2385060" y="815340"/>
          <a:chExt cx="1493520" cy="548640"/>
        </a:xfrm>
      </xdr:grpSpPr>
      <xdr:sp macro="" textlink="">
        <xdr:nvSpPr>
          <xdr:cNvPr id="33" name="Rectangle 32">
            <a:extLst>
              <a:ext uri="{FF2B5EF4-FFF2-40B4-BE49-F238E27FC236}">
                <a16:creationId xmlns:a16="http://schemas.microsoft.com/office/drawing/2014/main" id="{03607137-7ADA-293B-82E5-83C25688D693}"/>
              </a:ext>
            </a:extLst>
          </xdr:cNvPr>
          <xdr:cNvSpPr/>
        </xdr:nvSpPr>
        <xdr:spPr>
          <a:xfrm>
            <a:off x="2400300" y="815340"/>
            <a:ext cx="1478280" cy="548640"/>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bg1"/>
                </a:solidFill>
                <a:latin typeface="Arial Narrow" panose="020B0606020202030204" pitchFamily="34" charset="0"/>
              </a:rPr>
              <a:t>Stock</a:t>
            </a:r>
            <a:r>
              <a:rPr lang="en-US" sz="1100" b="1" baseline="0">
                <a:solidFill>
                  <a:schemeClr val="bg1"/>
                </a:solidFill>
                <a:latin typeface="Arial Narrow" panose="020B0606020202030204" pitchFamily="34" charset="0"/>
              </a:rPr>
              <a:t> Amt.</a:t>
            </a:r>
            <a:endParaRPr lang="en-US" sz="1100" b="1">
              <a:solidFill>
                <a:schemeClr val="bg1"/>
              </a:solidFill>
              <a:latin typeface="Arial Narrow" panose="020B0606020202030204" pitchFamily="34" charset="0"/>
            </a:endParaRPr>
          </a:p>
        </xdr:txBody>
      </xdr:sp>
      <xdr:sp macro="" textlink="">
        <xdr:nvSpPr>
          <xdr:cNvPr id="34" name="Rectangle 33">
            <a:extLst>
              <a:ext uri="{FF2B5EF4-FFF2-40B4-BE49-F238E27FC236}">
                <a16:creationId xmlns:a16="http://schemas.microsoft.com/office/drawing/2014/main" id="{FBC3E399-0C2A-C05F-9F0D-1F9B008BD05B}"/>
              </a:ext>
            </a:extLst>
          </xdr:cNvPr>
          <xdr:cNvSpPr/>
        </xdr:nvSpPr>
        <xdr:spPr>
          <a:xfrm>
            <a:off x="2385060" y="815340"/>
            <a:ext cx="266700" cy="548640"/>
          </a:xfrm>
          <a:prstGeom prst="rect">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b="1">
              <a:solidFill>
                <a:schemeClr val="bg1"/>
              </a:solidFill>
              <a:latin typeface="Arial Narrow" panose="020B0606020202030204" pitchFamily="34" charset="0"/>
            </a:endParaRPr>
          </a:p>
        </xdr:txBody>
      </xdr:sp>
      <xdr:sp macro="" textlink="Pivot!Q24">
        <xdr:nvSpPr>
          <xdr:cNvPr id="35" name="TextBox 34">
            <a:extLst>
              <a:ext uri="{FF2B5EF4-FFF2-40B4-BE49-F238E27FC236}">
                <a16:creationId xmlns:a16="http://schemas.microsoft.com/office/drawing/2014/main" id="{ACBA137F-FA1E-C9C9-C009-E5529AC899FB}"/>
              </a:ext>
            </a:extLst>
          </xdr:cNvPr>
          <xdr:cNvSpPr txBox="1"/>
        </xdr:nvSpPr>
        <xdr:spPr>
          <a:xfrm>
            <a:off x="2712211" y="1074420"/>
            <a:ext cx="1107009" cy="259080"/>
          </a:xfrm>
          <a:prstGeom prst="rect">
            <a:avLst/>
          </a:prstGeom>
          <a:solidFill>
            <a:srgbClr val="00B0F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0FF14502-3232-4587-A78F-7D9A451CD919}" type="TxLink">
              <a:rPr lang="en-US" sz="1100" b="0" i="0" u="none" strike="noStrike">
                <a:solidFill>
                  <a:schemeClr val="bg1"/>
                </a:solidFill>
                <a:latin typeface="Calibri"/>
                <a:cs typeface="Calibri"/>
              </a:rPr>
              <a:pPr algn="ctr"/>
              <a:t>26278566</a:t>
            </a:fld>
            <a:endParaRPr lang="en-US" sz="1100" b="1">
              <a:solidFill>
                <a:schemeClr val="bg1"/>
              </a:solidFill>
              <a:latin typeface="Arial Narrow" panose="020B0606020202030204" pitchFamily="34" charset="0"/>
            </a:endParaRPr>
          </a:p>
        </xdr:txBody>
      </xdr:sp>
    </xdr:grpSp>
    <xdr:clientData/>
  </xdr:twoCellAnchor>
  <xdr:twoCellAnchor>
    <xdr:from>
      <xdr:col>16</xdr:col>
      <xdr:colOff>137160</xdr:colOff>
      <xdr:row>2</xdr:row>
      <xdr:rowOff>179070</xdr:rowOff>
    </xdr:from>
    <xdr:to>
      <xdr:col>18</xdr:col>
      <xdr:colOff>381000</xdr:colOff>
      <xdr:row>5</xdr:row>
      <xdr:rowOff>179070</xdr:rowOff>
    </xdr:to>
    <xdr:grpSp>
      <xdr:nvGrpSpPr>
        <xdr:cNvPr id="36" name="Group 35">
          <a:extLst>
            <a:ext uri="{FF2B5EF4-FFF2-40B4-BE49-F238E27FC236}">
              <a16:creationId xmlns:a16="http://schemas.microsoft.com/office/drawing/2014/main" id="{266CC27D-EAA3-4F5A-9B5C-AD9E3C5DDD0A}"/>
            </a:ext>
          </a:extLst>
        </xdr:cNvPr>
        <xdr:cNvGrpSpPr/>
      </xdr:nvGrpSpPr>
      <xdr:grpSpPr>
        <a:xfrm>
          <a:off x="10454640" y="796290"/>
          <a:ext cx="1463040" cy="548640"/>
          <a:chOff x="2385060" y="815340"/>
          <a:chExt cx="1493521" cy="548640"/>
        </a:xfrm>
      </xdr:grpSpPr>
      <xdr:sp macro="" textlink="">
        <xdr:nvSpPr>
          <xdr:cNvPr id="37" name="Rectangle 36">
            <a:extLst>
              <a:ext uri="{FF2B5EF4-FFF2-40B4-BE49-F238E27FC236}">
                <a16:creationId xmlns:a16="http://schemas.microsoft.com/office/drawing/2014/main" id="{7157FF6B-87E0-0B4A-9C30-0CA8CC4C82AD}"/>
              </a:ext>
            </a:extLst>
          </xdr:cNvPr>
          <xdr:cNvSpPr/>
        </xdr:nvSpPr>
        <xdr:spPr>
          <a:xfrm>
            <a:off x="2400301" y="815340"/>
            <a:ext cx="1478280" cy="548640"/>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bg1"/>
                </a:solidFill>
                <a:latin typeface="Arial Narrow" panose="020B0606020202030204" pitchFamily="34" charset="0"/>
              </a:rPr>
              <a:t>      Avg Profit/Month</a:t>
            </a:r>
          </a:p>
        </xdr:txBody>
      </xdr:sp>
      <xdr:sp macro="" textlink="">
        <xdr:nvSpPr>
          <xdr:cNvPr id="38" name="Rectangle 37">
            <a:extLst>
              <a:ext uri="{FF2B5EF4-FFF2-40B4-BE49-F238E27FC236}">
                <a16:creationId xmlns:a16="http://schemas.microsoft.com/office/drawing/2014/main" id="{8F1105DD-5501-10FC-4C3B-63934D6B645B}"/>
              </a:ext>
            </a:extLst>
          </xdr:cNvPr>
          <xdr:cNvSpPr/>
        </xdr:nvSpPr>
        <xdr:spPr>
          <a:xfrm>
            <a:off x="2385060" y="815340"/>
            <a:ext cx="266700" cy="548640"/>
          </a:xfrm>
          <a:prstGeom prst="rect">
            <a:avLst/>
          </a:prstGeom>
          <a:solidFill>
            <a:srgbClr val="FF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b="1">
              <a:solidFill>
                <a:schemeClr val="bg1"/>
              </a:solidFill>
              <a:latin typeface="Arial Narrow" panose="020B0606020202030204" pitchFamily="34" charset="0"/>
            </a:endParaRPr>
          </a:p>
        </xdr:txBody>
      </xdr:sp>
      <xdr:sp macro="" textlink="Pivot!J47">
        <xdr:nvSpPr>
          <xdr:cNvPr id="39" name="TextBox 38">
            <a:extLst>
              <a:ext uri="{FF2B5EF4-FFF2-40B4-BE49-F238E27FC236}">
                <a16:creationId xmlns:a16="http://schemas.microsoft.com/office/drawing/2014/main" id="{81C479DA-258C-BBA8-352D-6DD2C5BB5CAC}"/>
              </a:ext>
            </a:extLst>
          </xdr:cNvPr>
          <xdr:cNvSpPr txBox="1"/>
        </xdr:nvSpPr>
        <xdr:spPr>
          <a:xfrm>
            <a:off x="2691423" y="1074420"/>
            <a:ext cx="1110565" cy="259080"/>
          </a:xfrm>
          <a:prstGeom prst="rect">
            <a:avLst/>
          </a:prstGeom>
          <a:solidFill>
            <a:srgbClr val="00B0F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6237872B-41AF-46DA-8282-0176FB154682}" type="TxLink">
              <a:rPr lang="en-US" sz="1100" b="0" i="0" u="none" strike="noStrike">
                <a:solidFill>
                  <a:schemeClr val="bg1"/>
                </a:solidFill>
                <a:latin typeface="Calibri"/>
                <a:cs typeface="Calibri"/>
              </a:rPr>
              <a:pPr algn="ctr"/>
              <a:t>15535.4</a:t>
            </a:fld>
            <a:endParaRPr lang="en-US" sz="1100" b="1">
              <a:solidFill>
                <a:schemeClr val="bg1"/>
              </a:solidFill>
              <a:latin typeface="Arial Narrow" panose="020B0606020202030204" pitchFamily="34" charset="0"/>
            </a:endParaRPr>
          </a:p>
        </xdr:txBody>
      </xdr:sp>
    </xdr:grpSp>
    <xdr:clientData/>
  </xdr:twoCellAnchor>
  <xdr:twoCellAnchor>
    <xdr:from>
      <xdr:col>1</xdr:col>
      <xdr:colOff>53340</xdr:colOff>
      <xdr:row>1</xdr:row>
      <xdr:rowOff>45720</xdr:rowOff>
    </xdr:from>
    <xdr:to>
      <xdr:col>2</xdr:col>
      <xdr:colOff>13335</xdr:colOff>
      <xdr:row>27</xdr:row>
      <xdr:rowOff>111252</xdr:rowOff>
    </xdr:to>
    <xdr:grpSp>
      <xdr:nvGrpSpPr>
        <xdr:cNvPr id="40" name="Group 39">
          <a:hlinkClick xmlns:r="http://schemas.openxmlformats.org/officeDocument/2006/relationships" r:id="rId1"/>
          <a:extLst>
            <a:ext uri="{FF2B5EF4-FFF2-40B4-BE49-F238E27FC236}">
              <a16:creationId xmlns:a16="http://schemas.microsoft.com/office/drawing/2014/main" id="{89165B15-1217-4487-A438-08EB8C4F3A88}"/>
            </a:ext>
          </a:extLst>
        </xdr:cNvPr>
        <xdr:cNvGrpSpPr/>
      </xdr:nvGrpSpPr>
      <xdr:grpSpPr>
        <a:xfrm>
          <a:off x="388620" y="175260"/>
          <a:ext cx="1674495" cy="5201412"/>
          <a:chOff x="375285" y="629412"/>
          <a:chExt cx="1674495" cy="4236720"/>
        </a:xfrm>
        <a:solidFill>
          <a:srgbClr val="002060"/>
        </a:solidFill>
      </xdr:grpSpPr>
      <xdr:sp macro="" textlink="">
        <xdr:nvSpPr>
          <xdr:cNvPr id="41" name="Rectangle 40">
            <a:hlinkClick xmlns:r="http://schemas.openxmlformats.org/officeDocument/2006/relationships" r:id="rId2"/>
            <a:extLst>
              <a:ext uri="{FF2B5EF4-FFF2-40B4-BE49-F238E27FC236}">
                <a16:creationId xmlns:a16="http://schemas.microsoft.com/office/drawing/2014/main" id="{270BCFC8-5C84-E1C7-5E22-A4B47F07C9EF}"/>
              </a:ext>
            </a:extLst>
          </xdr:cNvPr>
          <xdr:cNvSpPr/>
        </xdr:nvSpPr>
        <xdr:spPr>
          <a:xfrm>
            <a:off x="375285" y="629412"/>
            <a:ext cx="1674495" cy="4236720"/>
          </a:xfrm>
          <a:prstGeom prst="rect">
            <a:avLst/>
          </a:prstGeom>
          <a:grpFill/>
        </xdr:spPr>
        <xdr:style>
          <a:lnRef idx="2">
            <a:schemeClr val="accent3"/>
          </a:lnRef>
          <a:fillRef idx="1">
            <a:schemeClr val="lt1"/>
          </a:fillRef>
          <a:effectRef idx="0">
            <a:schemeClr val="accent3"/>
          </a:effectRef>
          <a:fontRef idx="minor">
            <a:schemeClr val="dk1"/>
          </a:fontRef>
        </xdr:style>
        <xdr:txBody>
          <a:bodyPr spcFirstLastPara="0" vertOverflow="clip" horzOverflow="clip" wrap="square" lIns="91440" tIns="45720" rIns="91440" bIns="45720" rtlCol="0" anchor="ctr">
            <a:noAutofit/>
          </a:bodyPr>
          <a:lstStyle/>
          <a:p>
            <a:pPr marL="0" indent="0" algn="ctr"/>
            <a:endParaRPr lang="en-US" sz="1100">
              <a:solidFill>
                <a:schemeClr val="bg1"/>
              </a:solidFill>
              <a:latin typeface="+mn-lt"/>
              <a:ea typeface="+mn-lt"/>
              <a:cs typeface="+mn-lt"/>
            </a:endParaRPr>
          </a:p>
        </xdr:txBody>
      </xdr:sp>
      <xdr:pic>
        <xdr:nvPicPr>
          <xdr:cNvPr id="42" name="Picture 41">
            <a:extLst>
              <a:ext uri="{FF2B5EF4-FFF2-40B4-BE49-F238E27FC236}">
                <a16:creationId xmlns:a16="http://schemas.microsoft.com/office/drawing/2014/main" id="{7C443D47-298D-E49F-FB92-EA0554E16ADA}"/>
              </a:ext>
              <a:ext uri="{147F2762-F138-4A5C-976F-8EAC2B608ADB}">
                <a16:predDERef xmlns:a16="http://schemas.microsoft.com/office/drawing/2014/main" pred="{F69C5330-EDCD-610B-0561-254E73F21250}"/>
              </a:ext>
            </a:extLst>
          </xdr:cNvPr>
          <xdr:cNvPicPr>
            <a:picLocks noChangeAspect="1"/>
          </xdr:cNvPicPr>
        </xdr:nvPicPr>
        <xdr:blipFill>
          <a:blip xmlns:r="http://schemas.openxmlformats.org/officeDocument/2006/relationships" r:embed="rId3"/>
          <a:stretch>
            <a:fillRect/>
          </a:stretch>
        </xdr:blipFill>
        <xdr:spPr>
          <a:xfrm>
            <a:off x="779145" y="790575"/>
            <a:ext cx="619125" cy="558165"/>
          </a:xfrm>
          <a:prstGeom prst="rect">
            <a:avLst/>
          </a:prstGeom>
          <a:grpFill/>
        </xdr:spPr>
      </xdr:pic>
      <xdr:sp macro="" textlink="">
        <xdr:nvSpPr>
          <xdr:cNvPr id="43" name="Rectangle 42">
            <a:extLst>
              <a:ext uri="{FF2B5EF4-FFF2-40B4-BE49-F238E27FC236}">
                <a16:creationId xmlns:a16="http://schemas.microsoft.com/office/drawing/2014/main" id="{3476A31C-2610-7346-FE9F-B88203045497}"/>
              </a:ext>
              <a:ext uri="{147F2762-F138-4A5C-976F-8EAC2B608ADB}">
                <a16:predDERef xmlns:a16="http://schemas.microsoft.com/office/drawing/2014/main" pred="{8AB7CAF2-EA14-FF48-A653-C70706D078DB}"/>
              </a:ext>
            </a:extLst>
          </xdr:cNvPr>
          <xdr:cNvSpPr/>
        </xdr:nvSpPr>
        <xdr:spPr>
          <a:xfrm>
            <a:off x="381000" y="1348740"/>
            <a:ext cx="1630680" cy="54864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spcFirstLastPara="0" vertOverflow="clip" horzOverflow="clip" wrap="square" lIns="91440" tIns="45720" rIns="91440" bIns="45720" rtlCol="0" anchor="ctr">
            <a:noAutofit/>
          </a:bodyPr>
          <a:lstStyle/>
          <a:p>
            <a:pPr marL="0" indent="0" algn="ctr"/>
            <a:r>
              <a:rPr lang="en-US" sz="1200" b="1" i="0" u="none" strike="noStrike">
                <a:solidFill>
                  <a:schemeClr val="bg1"/>
                </a:solidFill>
                <a:latin typeface="Calibri" panose="020F0502020204030204" pitchFamily="34" charset="0"/>
                <a:ea typeface="Calibri" panose="020F0502020204030204" pitchFamily="34" charset="0"/>
                <a:cs typeface="Calibri" panose="020F0502020204030204" pitchFamily="34" charset="0"/>
              </a:rPr>
              <a:t>Inventory</a:t>
            </a:r>
            <a:r>
              <a:rPr lang="en-US" sz="1200" b="1" i="0" u="none" strike="noStrike" baseline="0">
                <a:solidFill>
                  <a:schemeClr val="bg1"/>
                </a:solidFill>
                <a:latin typeface="Calibri" panose="020F0502020204030204" pitchFamily="34" charset="0"/>
                <a:ea typeface="Calibri" panose="020F0502020204030204" pitchFamily="34" charset="0"/>
                <a:cs typeface="Calibri" panose="020F0502020204030204" pitchFamily="34" charset="0"/>
              </a:rPr>
              <a:t> </a:t>
            </a:r>
            <a:r>
              <a:rPr lang="en-US" sz="1200" b="1" i="0" u="none" strike="noStrike">
                <a:solidFill>
                  <a:schemeClr val="bg1"/>
                </a:solidFill>
                <a:latin typeface="Calibri" panose="020F0502020204030204" pitchFamily="34" charset="0"/>
                <a:ea typeface="Calibri" panose="020F0502020204030204" pitchFamily="34" charset="0"/>
                <a:cs typeface="Calibri" panose="020F0502020204030204" pitchFamily="34" charset="0"/>
              </a:rPr>
              <a:t>Management System</a:t>
            </a:r>
          </a:p>
        </xdr:txBody>
      </xdr:sp>
      <xdr:grpSp>
        <xdr:nvGrpSpPr>
          <xdr:cNvPr id="44" name="Group 43">
            <a:extLst>
              <a:ext uri="{FF2B5EF4-FFF2-40B4-BE49-F238E27FC236}">
                <a16:creationId xmlns:a16="http://schemas.microsoft.com/office/drawing/2014/main" id="{AED7E730-14DC-2587-E68A-EAD6A9820A58}"/>
              </a:ext>
            </a:extLst>
          </xdr:cNvPr>
          <xdr:cNvGrpSpPr/>
        </xdr:nvGrpSpPr>
        <xdr:grpSpPr>
          <a:xfrm>
            <a:off x="438152" y="1805941"/>
            <a:ext cx="1541144" cy="2873526"/>
            <a:chOff x="508636" y="1712595"/>
            <a:chExt cx="1280160" cy="2715411"/>
          </a:xfrm>
          <a:grpFill/>
        </xdr:grpSpPr>
        <xdr:sp macro="" textlink="">
          <xdr:nvSpPr>
            <xdr:cNvPr id="45" name="Rectangle 44">
              <a:hlinkClick xmlns:r="http://schemas.openxmlformats.org/officeDocument/2006/relationships" r:id="rId4"/>
              <a:extLst>
                <a:ext uri="{FF2B5EF4-FFF2-40B4-BE49-F238E27FC236}">
                  <a16:creationId xmlns:a16="http://schemas.microsoft.com/office/drawing/2014/main" id="{E0C47599-8C05-8BFC-DEE9-E7A99D0E0322}"/>
                </a:ext>
                <a:ext uri="{147F2762-F138-4A5C-976F-8EAC2B608ADB}">
                  <a16:predDERef xmlns:a16="http://schemas.microsoft.com/office/drawing/2014/main" pred="{4FC661B3-B65D-9069-327A-3CED6E24A9A2}"/>
                </a:ext>
              </a:extLst>
            </xdr:cNvPr>
            <xdr:cNvSpPr/>
          </xdr:nvSpPr>
          <xdr:spPr>
            <a:xfrm>
              <a:off x="508636" y="1712595"/>
              <a:ext cx="1280160" cy="36576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l"/>
              <a:r>
                <a:rPr lang="en-US" sz="1400" b="1" i="0" u="sng" strike="noStrike" cap="none" spc="0">
                  <a:ln>
                    <a:noFill/>
                  </a:ln>
                  <a:solidFill>
                    <a:schemeClr val="bg1"/>
                  </a:solidFill>
                  <a:effectLst/>
                  <a:latin typeface="Calibri" panose="020F0502020204030204" pitchFamily="34" charset="0"/>
                  <a:ea typeface="Calibri" panose="020F0502020204030204" pitchFamily="34" charset="0"/>
                  <a:cs typeface="Calibri" panose="020F0502020204030204" pitchFamily="34" charset="0"/>
                </a:rPr>
                <a:t>Dashboard</a:t>
              </a:r>
            </a:p>
          </xdr:txBody>
        </xdr:sp>
        <xdr:sp macro="" textlink="">
          <xdr:nvSpPr>
            <xdr:cNvPr id="46" name="Rectangle 45">
              <a:extLst>
                <a:ext uri="{FF2B5EF4-FFF2-40B4-BE49-F238E27FC236}">
                  <a16:creationId xmlns:a16="http://schemas.microsoft.com/office/drawing/2014/main" id="{8B65C871-8CDE-2177-FB65-CF1AE6D93EE5}"/>
                </a:ext>
                <a:ext uri="{147F2762-F138-4A5C-976F-8EAC2B608ADB}">
                  <a16:predDERef xmlns:a16="http://schemas.microsoft.com/office/drawing/2014/main" pred="{6509E627-4724-4D01-84D5-43BB31EFA888}"/>
                </a:ext>
              </a:extLst>
            </xdr:cNvPr>
            <xdr:cNvSpPr/>
          </xdr:nvSpPr>
          <xdr:spPr>
            <a:xfrm>
              <a:off x="508636" y="2383923"/>
              <a:ext cx="1280160" cy="36576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l"/>
              <a:r>
                <a:rPr lang="en-US" sz="1400" b="1" i="0" u="none" strike="noStrike" cap="none" spc="0">
                  <a:ln>
                    <a:noFill/>
                  </a:ln>
                  <a:solidFill>
                    <a:schemeClr val="bg1"/>
                  </a:solidFill>
                  <a:effectLst/>
                  <a:latin typeface="Calibri" panose="020F0502020204030204" pitchFamily="34" charset="0"/>
                  <a:ea typeface="Calibri" panose="020F0502020204030204" pitchFamily="34" charset="0"/>
                  <a:cs typeface="Calibri" panose="020F0502020204030204" pitchFamily="34" charset="0"/>
                </a:rPr>
                <a:t>Products</a:t>
              </a:r>
            </a:p>
          </xdr:txBody>
        </xdr:sp>
        <xdr:sp macro="" textlink="">
          <xdr:nvSpPr>
            <xdr:cNvPr id="47" name="Rectangle 46">
              <a:hlinkClick xmlns:r="http://schemas.openxmlformats.org/officeDocument/2006/relationships" r:id="rId5"/>
              <a:extLst>
                <a:ext uri="{FF2B5EF4-FFF2-40B4-BE49-F238E27FC236}">
                  <a16:creationId xmlns:a16="http://schemas.microsoft.com/office/drawing/2014/main" id="{5DDAA7A9-744A-8D1B-2505-AA6A86F6295E}"/>
                </a:ext>
                <a:ext uri="{147F2762-F138-4A5C-976F-8EAC2B608ADB}">
                  <a16:predDERef xmlns:a16="http://schemas.microsoft.com/office/drawing/2014/main" pred="{B939FB6C-1C16-4487-9A17-1D721E089D8C}"/>
                </a:ext>
              </a:extLst>
            </xdr:cNvPr>
            <xdr:cNvSpPr/>
          </xdr:nvSpPr>
          <xdr:spPr>
            <a:xfrm>
              <a:off x="508636" y="2048259"/>
              <a:ext cx="1280160" cy="36576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l"/>
              <a:r>
                <a:rPr lang="en-US" sz="1400" b="1" i="0" u="none" strike="noStrike" cap="none" spc="0" baseline="0">
                  <a:ln>
                    <a:noFill/>
                  </a:ln>
                  <a:solidFill>
                    <a:schemeClr val="bg1"/>
                  </a:solidFill>
                  <a:effectLst/>
                  <a:uFill>
                    <a:solidFill>
                      <a:srgbClr val="0070C0"/>
                    </a:solidFill>
                  </a:uFill>
                  <a:latin typeface="Calibri" panose="020F0502020204030204" pitchFamily="34" charset="0"/>
                  <a:ea typeface="Calibri" panose="020F0502020204030204" pitchFamily="34" charset="0"/>
                  <a:cs typeface="Calibri" panose="020F0502020204030204" pitchFamily="34" charset="0"/>
                </a:rPr>
                <a:t>Customer</a:t>
              </a:r>
            </a:p>
          </xdr:txBody>
        </xdr:sp>
        <xdr:sp macro="" textlink="">
          <xdr:nvSpPr>
            <xdr:cNvPr id="48" name="Rectangle 47">
              <a:hlinkClick xmlns:r="http://schemas.openxmlformats.org/officeDocument/2006/relationships" r:id="rId6"/>
              <a:extLst>
                <a:ext uri="{FF2B5EF4-FFF2-40B4-BE49-F238E27FC236}">
                  <a16:creationId xmlns:a16="http://schemas.microsoft.com/office/drawing/2014/main" id="{2C9E0DA9-4CAA-D075-9651-F3AA25A8E376}"/>
                </a:ext>
                <a:ext uri="{147F2762-F138-4A5C-976F-8EAC2B608ADB}">
                  <a16:predDERef xmlns:a16="http://schemas.microsoft.com/office/drawing/2014/main" pred="{2B51644E-4193-4C75-9F74-3F9998592107}"/>
                </a:ext>
              </a:extLst>
            </xdr:cNvPr>
            <xdr:cNvSpPr/>
          </xdr:nvSpPr>
          <xdr:spPr>
            <a:xfrm>
              <a:off x="508636" y="4062246"/>
              <a:ext cx="1280160" cy="36576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l"/>
              <a:r>
                <a:rPr lang="en-US" sz="1400" b="1" i="0" u="none" strike="noStrike" cap="none" spc="0">
                  <a:ln>
                    <a:noFill/>
                  </a:ln>
                  <a:solidFill>
                    <a:schemeClr val="bg1"/>
                  </a:solidFill>
                  <a:effectLst/>
                  <a:latin typeface="Calibri" panose="020F0502020204030204" pitchFamily="34" charset="0"/>
                  <a:ea typeface="Calibri" panose="020F0502020204030204" pitchFamily="34" charset="0"/>
                  <a:cs typeface="Calibri" panose="020F0502020204030204" pitchFamily="34" charset="0"/>
                </a:rPr>
                <a:t>Inventory</a:t>
              </a:r>
            </a:p>
          </xdr:txBody>
        </xdr:sp>
        <xdr:sp macro="" textlink="">
          <xdr:nvSpPr>
            <xdr:cNvPr id="49" name="Rectangle 48">
              <a:hlinkClick xmlns:r="http://schemas.openxmlformats.org/officeDocument/2006/relationships" r:id="rId7"/>
              <a:extLst>
                <a:ext uri="{FF2B5EF4-FFF2-40B4-BE49-F238E27FC236}">
                  <a16:creationId xmlns:a16="http://schemas.microsoft.com/office/drawing/2014/main" id="{33F9809B-A92E-4A09-FEEE-375165F0D41F}"/>
                </a:ext>
                <a:ext uri="{147F2762-F138-4A5C-976F-8EAC2B608ADB}">
                  <a16:predDERef xmlns:a16="http://schemas.microsoft.com/office/drawing/2014/main" pred="{DA23F778-6EFE-4C39-B222-9858666608E4}"/>
                </a:ext>
              </a:extLst>
            </xdr:cNvPr>
            <xdr:cNvSpPr/>
          </xdr:nvSpPr>
          <xdr:spPr>
            <a:xfrm>
              <a:off x="508636" y="3726579"/>
              <a:ext cx="1280160" cy="36576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l"/>
              <a:r>
                <a:rPr lang="en-US" sz="1400" b="1" i="0" u="none" strike="noStrike" cap="none" spc="0">
                  <a:ln>
                    <a:noFill/>
                  </a:ln>
                  <a:solidFill>
                    <a:schemeClr val="bg1"/>
                  </a:solidFill>
                  <a:effectLst/>
                  <a:latin typeface="Calibri" panose="020F0502020204030204" pitchFamily="34" charset="0"/>
                  <a:ea typeface="Calibri" panose="020F0502020204030204" pitchFamily="34" charset="0"/>
                  <a:cs typeface="Calibri" panose="020F0502020204030204" pitchFamily="34" charset="0"/>
                </a:rPr>
                <a:t>Sales</a:t>
              </a:r>
            </a:p>
          </xdr:txBody>
        </xdr:sp>
        <xdr:sp macro="" textlink="">
          <xdr:nvSpPr>
            <xdr:cNvPr id="50" name="Rectangle 49">
              <a:hlinkClick xmlns:r="http://schemas.openxmlformats.org/officeDocument/2006/relationships" r:id="rId8"/>
              <a:extLst>
                <a:ext uri="{FF2B5EF4-FFF2-40B4-BE49-F238E27FC236}">
                  <a16:creationId xmlns:a16="http://schemas.microsoft.com/office/drawing/2014/main" id="{BE2DE5C7-649A-5380-2A2A-7F865860A1E1}"/>
                </a:ext>
                <a:ext uri="{147F2762-F138-4A5C-976F-8EAC2B608ADB}">
                  <a16:predDERef xmlns:a16="http://schemas.microsoft.com/office/drawing/2014/main" pred="{6FFFF218-B18D-41AA-AA29-6979FA38A556}"/>
                </a:ext>
              </a:extLst>
            </xdr:cNvPr>
            <xdr:cNvSpPr/>
          </xdr:nvSpPr>
          <xdr:spPr>
            <a:xfrm>
              <a:off x="508636" y="2719587"/>
              <a:ext cx="1280160" cy="36576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l"/>
              <a:r>
                <a:rPr lang="en-US" sz="1400" b="1" i="0" u="none" strike="noStrike" cap="none" spc="0">
                  <a:ln>
                    <a:noFill/>
                  </a:ln>
                  <a:solidFill>
                    <a:schemeClr val="bg1"/>
                  </a:solidFill>
                  <a:effectLst/>
                  <a:latin typeface="Calibri" panose="020F0502020204030204" pitchFamily="34" charset="0"/>
                  <a:ea typeface="Calibri" panose="020F0502020204030204" pitchFamily="34" charset="0"/>
                  <a:cs typeface="Calibri" panose="020F0502020204030204" pitchFamily="34" charset="0"/>
                </a:rPr>
                <a:t>Vendor</a:t>
              </a:r>
            </a:p>
          </xdr:txBody>
        </xdr:sp>
        <xdr:sp macro="" textlink="">
          <xdr:nvSpPr>
            <xdr:cNvPr id="51" name="Rectangle 50">
              <a:hlinkClick xmlns:r="http://schemas.openxmlformats.org/officeDocument/2006/relationships" r:id="rId9"/>
              <a:extLst>
                <a:ext uri="{FF2B5EF4-FFF2-40B4-BE49-F238E27FC236}">
                  <a16:creationId xmlns:a16="http://schemas.microsoft.com/office/drawing/2014/main" id="{1A8F3B05-C4A2-DAD8-D746-731B5651BEB5}"/>
                </a:ext>
                <a:ext uri="{147F2762-F138-4A5C-976F-8EAC2B608ADB}">
                  <a16:predDERef xmlns:a16="http://schemas.microsoft.com/office/drawing/2014/main" pred="{739F558E-A3F0-4E64-A7EB-65EC3C82B736}"/>
                </a:ext>
              </a:extLst>
            </xdr:cNvPr>
            <xdr:cNvSpPr/>
          </xdr:nvSpPr>
          <xdr:spPr>
            <a:xfrm>
              <a:off x="508636" y="3390915"/>
              <a:ext cx="1280160" cy="36576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l"/>
              <a:r>
                <a:rPr lang="en-US" sz="1400" b="1" i="0" u="none" strike="noStrike" cap="none" spc="0">
                  <a:ln>
                    <a:noFill/>
                  </a:ln>
                  <a:solidFill>
                    <a:schemeClr val="bg1"/>
                  </a:solidFill>
                  <a:effectLst/>
                  <a:latin typeface="Calibri" panose="020F0502020204030204" pitchFamily="34" charset="0"/>
                  <a:ea typeface="Calibri" panose="020F0502020204030204" pitchFamily="34" charset="0"/>
                  <a:cs typeface="Calibri" panose="020F0502020204030204" pitchFamily="34" charset="0"/>
                </a:rPr>
                <a:t>Purchase</a:t>
              </a:r>
            </a:p>
          </xdr:txBody>
        </xdr:sp>
        <xdr:sp macro="" textlink="">
          <xdr:nvSpPr>
            <xdr:cNvPr id="52" name="Rectangle 51">
              <a:hlinkClick xmlns:r="http://schemas.openxmlformats.org/officeDocument/2006/relationships" r:id="rId10"/>
              <a:extLst>
                <a:ext uri="{FF2B5EF4-FFF2-40B4-BE49-F238E27FC236}">
                  <a16:creationId xmlns:a16="http://schemas.microsoft.com/office/drawing/2014/main" id="{8B77FF70-C720-4E38-92E6-49A7CBB7341A}"/>
                </a:ext>
                <a:ext uri="{147F2762-F138-4A5C-976F-8EAC2B608ADB}">
                  <a16:predDERef xmlns:a16="http://schemas.microsoft.com/office/drawing/2014/main" pred="{72F0AEE9-A685-4715-905D-5AA50B2CC832}"/>
                </a:ext>
              </a:extLst>
            </xdr:cNvPr>
            <xdr:cNvSpPr/>
          </xdr:nvSpPr>
          <xdr:spPr>
            <a:xfrm>
              <a:off x="508636" y="3055251"/>
              <a:ext cx="1280160" cy="36576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l"/>
              <a:r>
                <a:rPr lang="en-US" sz="1400" b="1" i="0" u="none" strike="noStrike" cap="none" spc="0">
                  <a:ln>
                    <a:noFill/>
                  </a:ln>
                  <a:solidFill>
                    <a:schemeClr val="bg1"/>
                  </a:solidFill>
                  <a:effectLst/>
                  <a:latin typeface="Calibri" panose="020F0502020204030204" pitchFamily="34" charset="0"/>
                  <a:ea typeface="Calibri" panose="020F0502020204030204" pitchFamily="34" charset="0"/>
                  <a:cs typeface="Calibri" panose="020F0502020204030204" pitchFamily="34" charset="0"/>
                </a:rPr>
                <a:t>New Entry</a:t>
              </a:r>
            </a:p>
          </xdr:txBody>
        </xdr:sp>
      </xdr:grpSp>
    </xdr:grpSp>
    <xdr:clientData/>
  </xdr:twoCellAnchor>
  <xdr:twoCellAnchor>
    <xdr:from>
      <xdr:col>2</xdr:col>
      <xdr:colOff>327660</xdr:colOff>
      <xdr:row>18</xdr:row>
      <xdr:rowOff>0</xdr:rowOff>
    </xdr:from>
    <xdr:to>
      <xdr:col>8</xdr:col>
      <xdr:colOff>419100</xdr:colOff>
      <xdr:row>29</xdr:row>
      <xdr:rowOff>114300</xdr:rowOff>
    </xdr:to>
    <xdr:graphicFrame macro="">
      <xdr:nvGraphicFramePr>
        <xdr:cNvPr id="6" name="Chart 5">
          <a:extLst>
            <a:ext uri="{FF2B5EF4-FFF2-40B4-BE49-F238E27FC236}">
              <a16:creationId xmlns:a16="http://schemas.microsoft.com/office/drawing/2014/main" id="{963BF403-0645-4847-8458-AED015B44FED}"/>
            </a:ext>
            <a:ext uri="{147F2762-F138-4A5C-976F-8EAC2B608ADB}">
              <a16:predDERef xmlns:a16="http://schemas.microsoft.com/office/drawing/2014/main" pred="{89165B15-1217-4487-A438-08EB8C4F3A8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xdr:col>
      <xdr:colOff>335280</xdr:colOff>
      <xdr:row>6</xdr:row>
      <xdr:rowOff>106680</xdr:rowOff>
    </xdr:from>
    <xdr:to>
      <xdr:col>8</xdr:col>
      <xdr:colOff>426720</xdr:colOff>
      <xdr:row>17</xdr:row>
      <xdr:rowOff>121920</xdr:rowOff>
    </xdr:to>
    <xdr:graphicFrame macro="">
      <xdr:nvGraphicFramePr>
        <xdr:cNvPr id="7" name="Chart 6">
          <a:extLst>
            <a:ext uri="{FF2B5EF4-FFF2-40B4-BE49-F238E27FC236}">
              <a16:creationId xmlns:a16="http://schemas.microsoft.com/office/drawing/2014/main" id="{65A61CCF-C705-4CFF-854D-72826CA518FE}"/>
            </a:ext>
            <a:ext uri="{147F2762-F138-4A5C-976F-8EAC2B608ADB}">
              <a16:predDERef xmlns:a16="http://schemas.microsoft.com/office/drawing/2014/main" pred="{963BF403-0645-4847-8458-AED015B44FE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oneCell">
    <xdr:from>
      <xdr:col>16</xdr:col>
      <xdr:colOff>60960</xdr:colOff>
      <xdr:row>23</xdr:row>
      <xdr:rowOff>38100</xdr:rowOff>
    </xdr:from>
    <xdr:to>
      <xdr:col>19</xdr:col>
      <xdr:colOff>60960</xdr:colOff>
      <xdr:row>28</xdr:row>
      <xdr:rowOff>144780</xdr:rowOff>
    </xdr:to>
    <mc:AlternateContent xmlns:mc="http://schemas.openxmlformats.org/markup-compatibility/2006" xmlns:a14="http://schemas.microsoft.com/office/drawing/2010/main">
      <mc:Choice Requires="a14">
        <xdr:graphicFrame macro="">
          <xdr:nvGraphicFramePr>
            <xdr:cNvPr id="10" name="Year 1">
              <a:extLst>
                <a:ext uri="{FF2B5EF4-FFF2-40B4-BE49-F238E27FC236}">
                  <a16:creationId xmlns:a16="http://schemas.microsoft.com/office/drawing/2014/main" id="{5A94F240-EC43-4889-A1D1-D818CDAAAABB}"/>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10378440" y="4495800"/>
              <a:ext cx="1828800" cy="10972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22860</xdr:colOff>
      <xdr:row>6</xdr:row>
      <xdr:rowOff>83820</xdr:rowOff>
    </xdr:from>
    <xdr:to>
      <xdr:col>19</xdr:col>
      <xdr:colOff>22860</xdr:colOff>
      <xdr:row>22</xdr:row>
      <xdr:rowOff>106680</xdr:rowOff>
    </xdr:to>
    <mc:AlternateContent xmlns:mc="http://schemas.openxmlformats.org/markup-compatibility/2006" xmlns:a14="http://schemas.microsoft.com/office/drawing/2010/main">
      <mc:Choice Requires="a14">
        <xdr:graphicFrame macro="">
          <xdr:nvGraphicFramePr>
            <xdr:cNvPr id="2" name="Months (Date) 1">
              <a:extLst>
                <a:ext uri="{FF2B5EF4-FFF2-40B4-BE49-F238E27FC236}">
                  <a16:creationId xmlns:a16="http://schemas.microsoft.com/office/drawing/2014/main" id="{BAE7CCBA-CE48-44F5-9046-02BB7CE6CCF5}"/>
                </a:ext>
              </a:extLst>
            </xdr:cNvPr>
            <xdr:cNvGraphicFramePr/>
          </xdr:nvGraphicFramePr>
          <xdr:xfrm>
            <a:off x="0" y="0"/>
            <a:ext cx="0" cy="0"/>
          </xdr:xfrm>
          <a:graphic>
            <a:graphicData uri="http://schemas.microsoft.com/office/drawing/2010/slicer">
              <sle:slicer xmlns:sle="http://schemas.microsoft.com/office/drawing/2010/slicer" name="Months (Date) 1"/>
            </a:graphicData>
          </a:graphic>
        </xdr:graphicFrame>
      </mc:Choice>
      <mc:Fallback xmlns="">
        <xdr:sp macro="" textlink="">
          <xdr:nvSpPr>
            <xdr:cNvPr id="0" name=""/>
            <xdr:cNvSpPr>
              <a:spLocks noTextEdit="1"/>
            </xdr:cNvSpPr>
          </xdr:nvSpPr>
          <xdr:spPr>
            <a:xfrm>
              <a:off x="10340340" y="1432560"/>
              <a:ext cx="1828800" cy="29489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8</xdr:col>
          <xdr:colOff>510540</xdr:colOff>
          <xdr:row>27</xdr:row>
          <xdr:rowOff>68580</xdr:rowOff>
        </xdr:from>
        <xdr:to>
          <xdr:col>10</xdr:col>
          <xdr:colOff>312420</xdr:colOff>
          <xdr:row>29</xdr:row>
          <xdr:rowOff>114300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339966"/>
                  </a:solidFill>
                  <a:latin typeface="Calibri"/>
                  <a:cs typeface="Calibri"/>
                </a:rPr>
                <a:t>Stock Check</a:t>
              </a:r>
            </a:p>
          </xdr:txBody>
        </xdr:sp>
        <xdr:clientData fPrintsWithSheet="0"/>
      </xdr:twoCellAnchor>
    </mc:Choice>
    <mc:Fallback/>
  </mc:AlternateContent>
  <xdr:twoCellAnchor>
    <xdr:from>
      <xdr:col>8</xdr:col>
      <xdr:colOff>480060</xdr:colOff>
      <xdr:row>6</xdr:row>
      <xdr:rowOff>114300</xdr:rowOff>
    </xdr:from>
    <xdr:to>
      <xdr:col>15</xdr:col>
      <xdr:colOff>411480</xdr:colOff>
      <xdr:row>19</xdr:row>
      <xdr:rowOff>129540</xdr:rowOff>
    </xdr:to>
    <xdr:graphicFrame macro="">
      <xdr:nvGraphicFramePr>
        <xdr:cNvPr id="5" name="Chart 4">
          <a:extLst>
            <a:ext uri="{FF2B5EF4-FFF2-40B4-BE49-F238E27FC236}">
              <a16:creationId xmlns:a16="http://schemas.microsoft.com/office/drawing/2014/main" id="{A955C518-CDBB-45FE-BD02-C75B95E676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40005</xdr:colOff>
      <xdr:row>0</xdr:row>
      <xdr:rowOff>114300</xdr:rowOff>
    </xdr:from>
    <xdr:to>
      <xdr:col>2</xdr:col>
      <xdr:colOff>0</xdr:colOff>
      <xdr:row>21</xdr:row>
      <xdr:rowOff>42672</xdr:rowOff>
    </xdr:to>
    <xdr:grpSp>
      <xdr:nvGrpSpPr>
        <xdr:cNvPr id="2" name="Group 1">
          <a:hlinkClick xmlns:r="http://schemas.openxmlformats.org/officeDocument/2006/relationships" r:id="rId1"/>
          <a:extLst>
            <a:ext uri="{FF2B5EF4-FFF2-40B4-BE49-F238E27FC236}">
              <a16:creationId xmlns:a16="http://schemas.microsoft.com/office/drawing/2014/main" id="{B529C433-0A7C-4EBC-AB03-1D070C50BECA}"/>
            </a:ext>
          </a:extLst>
        </xdr:cNvPr>
        <xdr:cNvGrpSpPr/>
      </xdr:nvGrpSpPr>
      <xdr:grpSpPr>
        <a:xfrm>
          <a:off x="375285" y="114300"/>
          <a:ext cx="1674495" cy="6595872"/>
          <a:chOff x="375285" y="629412"/>
          <a:chExt cx="1674495" cy="4236720"/>
        </a:xfrm>
        <a:solidFill>
          <a:srgbClr val="002060"/>
        </a:solidFill>
      </xdr:grpSpPr>
      <xdr:sp macro="" textlink="">
        <xdr:nvSpPr>
          <xdr:cNvPr id="3" name="Rectangle 2">
            <a:hlinkClick xmlns:r="http://schemas.openxmlformats.org/officeDocument/2006/relationships" r:id="rId2"/>
            <a:extLst>
              <a:ext uri="{FF2B5EF4-FFF2-40B4-BE49-F238E27FC236}">
                <a16:creationId xmlns:a16="http://schemas.microsoft.com/office/drawing/2014/main" id="{3666EC97-13B1-5B77-FEAA-4CB50970E23E}"/>
              </a:ext>
            </a:extLst>
          </xdr:cNvPr>
          <xdr:cNvSpPr/>
        </xdr:nvSpPr>
        <xdr:spPr>
          <a:xfrm>
            <a:off x="375285" y="629412"/>
            <a:ext cx="1674495" cy="4236720"/>
          </a:xfrm>
          <a:prstGeom prst="rect">
            <a:avLst/>
          </a:prstGeom>
          <a:grpFill/>
          <a:ln>
            <a:solidFill>
              <a:schemeClr val="accent3"/>
            </a:solidFill>
          </a:ln>
        </xdr:spPr>
        <xdr:style>
          <a:lnRef idx="2">
            <a:schemeClr val="accent3"/>
          </a:lnRef>
          <a:fillRef idx="1">
            <a:schemeClr val="lt1"/>
          </a:fillRef>
          <a:effectRef idx="0">
            <a:schemeClr val="accent3"/>
          </a:effectRef>
          <a:fontRef idx="minor">
            <a:schemeClr val="dk1"/>
          </a:fontRef>
        </xdr:style>
        <xdr:txBody>
          <a:bodyPr spcFirstLastPara="0" vertOverflow="clip" horzOverflow="clip" wrap="square" lIns="91440" tIns="45720" rIns="91440" bIns="45720" rtlCol="0" anchor="ctr">
            <a:noAutofit/>
          </a:bodyPr>
          <a:lstStyle/>
          <a:p>
            <a:pPr marL="0" indent="0" algn="ctr"/>
            <a:endParaRPr lang="en-US" sz="1100">
              <a:solidFill>
                <a:schemeClr val="bg1"/>
              </a:solidFill>
              <a:latin typeface="+mn-lt"/>
              <a:ea typeface="+mn-lt"/>
              <a:cs typeface="+mn-lt"/>
            </a:endParaRPr>
          </a:p>
        </xdr:txBody>
      </xdr:sp>
      <xdr:pic>
        <xdr:nvPicPr>
          <xdr:cNvPr id="4" name="Picture 3">
            <a:extLst>
              <a:ext uri="{FF2B5EF4-FFF2-40B4-BE49-F238E27FC236}">
                <a16:creationId xmlns:a16="http://schemas.microsoft.com/office/drawing/2014/main" id="{259ECBD5-4237-AE7C-4129-9A49F6C06690}"/>
              </a:ext>
              <a:ext uri="{147F2762-F138-4A5C-976F-8EAC2B608ADB}">
                <a16:predDERef xmlns:a16="http://schemas.microsoft.com/office/drawing/2014/main" pred="{F69C5330-EDCD-610B-0561-254E73F21250}"/>
              </a:ext>
            </a:extLst>
          </xdr:cNvPr>
          <xdr:cNvPicPr>
            <a:picLocks noChangeAspect="1"/>
          </xdr:cNvPicPr>
        </xdr:nvPicPr>
        <xdr:blipFill>
          <a:blip xmlns:r="http://schemas.openxmlformats.org/officeDocument/2006/relationships" r:embed="rId3"/>
          <a:stretch>
            <a:fillRect/>
          </a:stretch>
        </xdr:blipFill>
        <xdr:spPr>
          <a:xfrm>
            <a:off x="779145" y="790575"/>
            <a:ext cx="619125" cy="558165"/>
          </a:xfrm>
          <a:prstGeom prst="rect">
            <a:avLst/>
          </a:prstGeom>
          <a:grpFill/>
        </xdr:spPr>
      </xdr:pic>
      <xdr:sp macro="" textlink="">
        <xdr:nvSpPr>
          <xdr:cNvPr id="5" name="Rectangle 4">
            <a:extLst>
              <a:ext uri="{FF2B5EF4-FFF2-40B4-BE49-F238E27FC236}">
                <a16:creationId xmlns:a16="http://schemas.microsoft.com/office/drawing/2014/main" id="{431BC154-01B3-E406-2846-F3EC09A051AB}"/>
              </a:ext>
              <a:ext uri="{147F2762-F138-4A5C-976F-8EAC2B608ADB}">
                <a16:predDERef xmlns:a16="http://schemas.microsoft.com/office/drawing/2014/main" pred="{8AB7CAF2-EA14-FF48-A653-C70706D078DB}"/>
              </a:ext>
            </a:extLst>
          </xdr:cNvPr>
          <xdr:cNvSpPr/>
        </xdr:nvSpPr>
        <xdr:spPr>
          <a:xfrm>
            <a:off x="381000" y="1348740"/>
            <a:ext cx="1630680" cy="54864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spcFirstLastPara="0" vertOverflow="clip" horzOverflow="clip" wrap="square" lIns="91440" tIns="45720" rIns="91440" bIns="45720" rtlCol="0" anchor="ctr">
            <a:noAutofit/>
          </a:bodyPr>
          <a:lstStyle/>
          <a:p>
            <a:pPr marL="0" indent="0" algn="ctr"/>
            <a:r>
              <a:rPr lang="en-US" sz="1200" b="1" i="0" u="none" strike="noStrike">
                <a:solidFill>
                  <a:schemeClr val="bg1"/>
                </a:solidFill>
                <a:latin typeface="Calibri" panose="020F0502020204030204" pitchFamily="34" charset="0"/>
                <a:ea typeface="Calibri" panose="020F0502020204030204" pitchFamily="34" charset="0"/>
                <a:cs typeface="Calibri" panose="020F0502020204030204" pitchFamily="34" charset="0"/>
              </a:rPr>
              <a:t>Inventory</a:t>
            </a:r>
            <a:r>
              <a:rPr lang="en-US" sz="1200" b="1" i="0" u="none" strike="noStrike" baseline="0">
                <a:solidFill>
                  <a:schemeClr val="bg1"/>
                </a:solidFill>
                <a:latin typeface="Calibri" panose="020F0502020204030204" pitchFamily="34" charset="0"/>
                <a:ea typeface="Calibri" panose="020F0502020204030204" pitchFamily="34" charset="0"/>
                <a:cs typeface="Calibri" panose="020F0502020204030204" pitchFamily="34" charset="0"/>
              </a:rPr>
              <a:t> </a:t>
            </a:r>
            <a:r>
              <a:rPr lang="en-US" sz="1200" b="1" i="0" u="none" strike="noStrike">
                <a:solidFill>
                  <a:schemeClr val="bg1"/>
                </a:solidFill>
                <a:latin typeface="Calibri" panose="020F0502020204030204" pitchFamily="34" charset="0"/>
                <a:ea typeface="Calibri" panose="020F0502020204030204" pitchFamily="34" charset="0"/>
                <a:cs typeface="Calibri" panose="020F0502020204030204" pitchFamily="34" charset="0"/>
              </a:rPr>
              <a:t>Management System</a:t>
            </a:r>
          </a:p>
        </xdr:txBody>
      </xdr:sp>
      <xdr:grpSp>
        <xdr:nvGrpSpPr>
          <xdr:cNvPr id="6" name="Group 5">
            <a:extLst>
              <a:ext uri="{FF2B5EF4-FFF2-40B4-BE49-F238E27FC236}">
                <a16:creationId xmlns:a16="http://schemas.microsoft.com/office/drawing/2014/main" id="{E0CF7297-4692-FA75-8FA1-D6F0AD1D3467}"/>
              </a:ext>
            </a:extLst>
          </xdr:cNvPr>
          <xdr:cNvGrpSpPr/>
        </xdr:nvGrpSpPr>
        <xdr:grpSpPr>
          <a:xfrm>
            <a:off x="438152" y="1805941"/>
            <a:ext cx="1541144" cy="2873526"/>
            <a:chOff x="508636" y="1712595"/>
            <a:chExt cx="1280160" cy="2715411"/>
          </a:xfrm>
          <a:grpFill/>
        </xdr:grpSpPr>
        <xdr:sp macro="" textlink="">
          <xdr:nvSpPr>
            <xdr:cNvPr id="7" name="Rectangle 6">
              <a:hlinkClick xmlns:r="http://schemas.openxmlformats.org/officeDocument/2006/relationships" r:id="rId4"/>
              <a:extLst>
                <a:ext uri="{FF2B5EF4-FFF2-40B4-BE49-F238E27FC236}">
                  <a16:creationId xmlns:a16="http://schemas.microsoft.com/office/drawing/2014/main" id="{987E37D1-ED60-2CBB-D0CC-C10F77C149D6}"/>
                </a:ext>
                <a:ext uri="{147F2762-F138-4A5C-976F-8EAC2B608ADB}">
                  <a16:predDERef xmlns:a16="http://schemas.microsoft.com/office/drawing/2014/main" pred="{4FC661B3-B65D-9069-327A-3CED6E24A9A2}"/>
                </a:ext>
              </a:extLst>
            </xdr:cNvPr>
            <xdr:cNvSpPr/>
          </xdr:nvSpPr>
          <xdr:spPr>
            <a:xfrm>
              <a:off x="508636" y="1712595"/>
              <a:ext cx="1280160" cy="36576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l"/>
              <a:r>
                <a:rPr lang="en-US" sz="1400" b="1" i="0" u="none" strike="noStrike" cap="none" spc="0">
                  <a:ln>
                    <a:noFill/>
                  </a:ln>
                  <a:solidFill>
                    <a:schemeClr val="bg1"/>
                  </a:solidFill>
                  <a:effectLst/>
                  <a:latin typeface="Calibri" panose="020F0502020204030204" pitchFamily="34" charset="0"/>
                  <a:ea typeface="Calibri" panose="020F0502020204030204" pitchFamily="34" charset="0"/>
                  <a:cs typeface="Calibri" panose="020F0502020204030204" pitchFamily="34" charset="0"/>
                </a:rPr>
                <a:t>Dashboard</a:t>
              </a:r>
            </a:p>
          </xdr:txBody>
        </xdr:sp>
        <xdr:sp macro="" textlink="">
          <xdr:nvSpPr>
            <xdr:cNvPr id="8" name="Rectangle 7">
              <a:extLst>
                <a:ext uri="{FF2B5EF4-FFF2-40B4-BE49-F238E27FC236}">
                  <a16:creationId xmlns:a16="http://schemas.microsoft.com/office/drawing/2014/main" id="{EF77AFA5-61E4-E62F-D5BE-7FDA524F529E}"/>
                </a:ext>
                <a:ext uri="{147F2762-F138-4A5C-976F-8EAC2B608ADB}">
                  <a16:predDERef xmlns:a16="http://schemas.microsoft.com/office/drawing/2014/main" pred="{6509E627-4724-4D01-84D5-43BB31EFA888}"/>
                </a:ext>
              </a:extLst>
            </xdr:cNvPr>
            <xdr:cNvSpPr/>
          </xdr:nvSpPr>
          <xdr:spPr>
            <a:xfrm>
              <a:off x="508636" y="2383923"/>
              <a:ext cx="1280160" cy="36576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l"/>
              <a:r>
                <a:rPr lang="en-US" sz="1400" b="1" i="0" u="none" strike="noStrike" cap="none" spc="0">
                  <a:ln>
                    <a:noFill/>
                  </a:ln>
                  <a:solidFill>
                    <a:schemeClr val="bg1"/>
                  </a:solidFill>
                  <a:effectLst/>
                  <a:latin typeface="Calibri" panose="020F0502020204030204" pitchFamily="34" charset="0"/>
                  <a:ea typeface="Calibri" panose="020F0502020204030204" pitchFamily="34" charset="0"/>
                  <a:cs typeface="Calibri" panose="020F0502020204030204" pitchFamily="34" charset="0"/>
                </a:rPr>
                <a:t>Products</a:t>
              </a:r>
            </a:p>
          </xdr:txBody>
        </xdr:sp>
        <xdr:sp macro="" textlink="">
          <xdr:nvSpPr>
            <xdr:cNvPr id="9" name="Rectangle 8">
              <a:extLst>
                <a:ext uri="{FF2B5EF4-FFF2-40B4-BE49-F238E27FC236}">
                  <a16:creationId xmlns:a16="http://schemas.microsoft.com/office/drawing/2014/main" id="{FCB4AFC9-C1C1-BF44-9ABC-76B6400E0BD2}"/>
                </a:ext>
                <a:ext uri="{147F2762-F138-4A5C-976F-8EAC2B608ADB}">
                  <a16:predDERef xmlns:a16="http://schemas.microsoft.com/office/drawing/2014/main" pred="{B939FB6C-1C16-4487-9A17-1D721E089D8C}"/>
                </a:ext>
              </a:extLst>
            </xdr:cNvPr>
            <xdr:cNvSpPr/>
          </xdr:nvSpPr>
          <xdr:spPr>
            <a:xfrm>
              <a:off x="508636" y="2048259"/>
              <a:ext cx="1280160" cy="36576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l"/>
              <a:r>
                <a:rPr lang="en-US" sz="1400" b="1" i="0" u="sng" strike="noStrike" cap="none" spc="0" baseline="0">
                  <a:ln>
                    <a:solidFill>
                      <a:schemeClr val="accent3"/>
                    </a:solidFill>
                  </a:ln>
                  <a:solidFill>
                    <a:schemeClr val="bg1"/>
                  </a:solidFill>
                  <a:effectLst/>
                  <a:uFill>
                    <a:solidFill>
                      <a:srgbClr val="0070C0"/>
                    </a:solidFill>
                  </a:uFill>
                  <a:latin typeface="Calibri" panose="020F0502020204030204" pitchFamily="34" charset="0"/>
                  <a:ea typeface="Calibri" panose="020F0502020204030204" pitchFamily="34" charset="0"/>
                  <a:cs typeface="Calibri" panose="020F0502020204030204" pitchFamily="34" charset="0"/>
                </a:rPr>
                <a:t>Customer</a:t>
              </a:r>
            </a:p>
          </xdr:txBody>
        </xdr:sp>
        <xdr:sp macro="" textlink="">
          <xdr:nvSpPr>
            <xdr:cNvPr id="10" name="Rectangle 9">
              <a:hlinkClick xmlns:r="http://schemas.openxmlformats.org/officeDocument/2006/relationships" r:id="rId5"/>
              <a:extLst>
                <a:ext uri="{FF2B5EF4-FFF2-40B4-BE49-F238E27FC236}">
                  <a16:creationId xmlns:a16="http://schemas.microsoft.com/office/drawing/2014/main" id="{3A11BD8B-5B03-44B8-4486-4A6A61950803}"/>
                </a:ext>
                <a:ext uri="{147F2762-F138-4A5C-976F-8EAC2B608ADB}">
                  <a16:predDERef xmlns:a16="http://schemas.microsoft.com/office/drawing/2014/main" pred="{2B51644E-4193-4C75-9F74-3F9998592107}"/>
                </a:ext>
              </a:extLst>
            </xdr:cNvPr>
            <xdr:cNvSpPr/>
          </xdr:nvSpPr>
          <xdr:spPr>
            <a:xfrm>
              <a:off x="508636" y="4062246"/>
              <a:ext cx="1280160" cy="36576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l"/>
              <a:r>
                <a:rPr lang="en-US" sz="1400" b="1" i="0" u="none" strike="noStrike" cap="none" spc="0">
                  <a:ln>
                    <a:noFill/>
                  </a:ln>
                  <a:solidFill>
                    <a:schemeClr val="bg1"/>
                  </a:solidFill>
                  <a:effectLst/>
                  <a:latin typeface="Calibri" panose="020F0502020204030204" pitchFamily="34" charset="0"/>
                  <a:ea typeface="Calibri" panose="020F0502020204030204" pitchFamily="34" charset="0"/>
                  <a:cs typeface="Calibri" panose="020F0502020204030204" pitchFamily="34" charset="0"/>
                </a:rPr>
                <a:t>Inventory</a:t>
              </a:r>
            </a:p>
          </xdr:txBody>
        </xdr:sp>
        <xdr:sp macro="" textlink="">
          <xdr:nvSpPr>
            <xdr:cNvPr id="11" name="Rectangle 10">
              <a:hlinkClick xmlns:r="http://schemas.openxmlformats.org/officeDocument/2006/relationships" r:id="rId6"/>
              <a:extLst>
                <a:ext uri="{FF2B5EF4-FFF2-40B4-BE49-F238E27FC236}">
                  <a16:creationId xmlns:a16="http://schemas.microsoft.com/office/drawing/2014/main" id="{88A313D3-B9F3-1178-DD23-7260733A1168}"/>
                </a:ext>
                <a:ext uri="{147F2762-F138-4A5C-976F-8EAC2B608ADB}">
                  <a16:predDERef xmlns:a16="http://schemas.microsoft.com/office/drawing/2014/main" pred="{DA23F778-6EFE-4C39-B222-9858666608E4}"/>
                </a:ext>
              </a:extLst>
            </xdr:cNvPr>
            <xdr:cNvSpPr/>
          </xdr:nvSpPr>
          <xdr:spPr>
            <a:xfrm>
              <a:off x="508636" y="3726579"/>
              <a:ext cx="1280160" cy="36576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l"/>
              <a:r>
                <a:rPr lang="en-US" sz="1400" b="1" i="0" u="none" strike="noStrike" cap="none" spc="0">
                  <a:ln>
                    <a:noFill/>
                  </a:ln>
                  <a:solidFill>
                    <a:schemeClr val="bg1"/>
                  </a:solidFill>
                  <a:effectLst/>
                  <a:latin typeface="Calibri" panose="020F0502020204030204" pitchFamily="34" charset="0"/>
                  <a:ea typeface="Calibri" panose="020F0502020204030204" pitchFamily="34" charset="0"/>
                  <a:cs typeface="Calibri" panose="020F0502020204030204" pitchFamily="34" charset="0"/>
                </a:rPr>
                <a:t>Sales</a:t>
              </a:r>
            </a:p>
          </xdr:txBody>
        </xdr:sp>
        <xdr:sp macro="" textlink="">
          <xdr:nvSpPr>
            <xdr:cNvPr id="12" name="Rectangle 11">
              <a:hlinkClick xmlns:r="http://schemas.openxmlformats.org/officeDocument/2006/relationships" r:id="rId7"/>
              <a:extLst>
                <a:ext uri="{FF2B5EF4-FFF2-40B4-BE49-F238E27FC236}">
                  <a16:creationId xmlns:a16="http://schemas.microsoft.com/office/drawing/2014/main" id="{109B8BA1-D753-E344-B586-63B975724B3D}"/>
                </a:ext>
                <a:ext uri="{147F2762-F138-4A5C-976F-8EAC2B608ADB}">
                  <a16:predDERef xmlns:a16="http://schemas.microsoft.com/office/drawing/2014/main" pred="{6FFFF218-B18D-41AA-AA29-6979FA38A556}"/>
                </a:ext>
              </a:extLst>
            </xdr:cNvPr>
            <xdr:cNvSpPr/>
          </xdr:nvSpPr>
          <xdr:spPr>
            <a:xfrm>
              <a:off x="508636" y="2719587"/>
              <a:ext cx="1280160" cy="36576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l"/>
              <a:r>
                <a:rPr lang="en-US" sz="1400" b="1" i="0" u="none" strike="noStrike" cap="none" spc="0">
                  <a:ln>
                    <a:noFill/>
                  </a:ln>
                  <a:solidFill>
                    <a:schemeClr val="bg1"/>
                  </a:solidFill>
                  <a:effectLst/>
                  <a:latin typeface="Calibri" panose="020F0502020204030204" pitchFamily="34" charset="0"/>
                  <a:ea typeface="Calibri" panose="020F0502020204030204" pitchFamily="34" charset="0"/>
                  <a:cs typeface="Calibri" panose="020F0502020204030204" pitchFamily="34" charset="0"/>
                </a:rPr>
                <a:t>Vendor</a:t>
              </a:r>
            </a:p>
          </xdr:txBody>
        </xdr:sp>
        <xdr:sp macro="" textlink="">
          <xdr:nvSpPr>
            <xdr:cNvPr id="13" name="Rectangle 12">
              <a:hlinkClick xmlns:r="http://schemas.openxmlformats.org/officeDocument/2006/relationships" r:id="rId8"/>
              <a:extLst>
                <a:ext uri="{FF2B5EF4-FFF2-40B4-BE49-F238E27FC236}">
                  <a16:creationId xmlns:a16="http://schemas.microsoft.com/office/drawing/2014/main" id="{7D8C3AB7-E6C2-D7E5-2115-B0C83E18B5BD}"/>
                </a:ext>
                <a:ext uri="{147F2762-F138-4A5C-976F-8EAC2B608ADB}">
                  <a16:predDERef xmlns:a16="http://schemas.microsoft.com/office/drawing/2014/main" pred="{739F558E-A3F0-4E64-A7EB-65EC3C82B736}"/>
                </a:ext>
              </a:extLst>
            </xdr:cNvPr>
            <xdr:cNvSpPr/>
          </xdr:nvSpPr>
          <xdr:spPr>
            <a:xfrm>
              <a:off x="508636" y="3390915"/>
              <a:ext cx="1280160" cy="36576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l"/>
              <a:r>
                <a:rPr lang="en-US" sz="1400" b="1" i="0" u="none" strike="noStrike" cap="none" spc="0">
                  <a:ln>
                    <a:noFill/>
                  </a:ln>
                  <a:solidFill>
                    <a:schemeClr val="bg1"/>
                  </a:solidFill>
                  <a:effectLst/>
                  <a:latin typeface="Calibri" panose="020F0502020204030204" pitchFamily="34" charset="0"/>
                  <a:ea typeface="Calibri" panose="020F0502020204030204" pitchFamily="34" charset="0"/>
                  <a:cs typeface="Calibri" panose="020F0502020204030204" pitchFamily="34" charset="0"/>
                </a:rPr>
                <a:t>Purchase</a:t>
              </a:r>
            </a:p>
          </xdr:txBody>
        </xdr:sp>
        <xdr:sp macro="" textlink="">
          <xdr:nvSpPr>
            <xdr:cNvPr id="14" name="Rectangle 13">
              <a:hlinkClick xmlns:r="http://schemas.openxmlformats.org/officeDocument/2006/relationships" r:id="rId9"/>
              <a:extLst>
                <a:ext uri="{FF2B5EF4-FFF2-40B4-BE49-F238E27FC236}">
                  <a16:creationId xmlns:a16="http://schemas.microsoft.com/office/drawing/2014/main" id="{B37EB3D7-64BC-071A-E312-C252CF2B162D}"/>
                </a:ext>
                <a:ext uri="{147F2762-F138-4A5C-976F-8EAC2B608ADB}">
                  <a16:predDERef xmlns:a16="http://schemas.microsoft.com/office/drawing/2014/main" pred="{72F0AEE9-A685-4715-905D-5AA50B2CC832}"/>
                </a:ext>
              </a:extLst>
            </xdr:cNvPr>
            <xdr:cNvSpPr/>
          </xdr:nvSpPr>
          <xdr:spPr>
            <a:xfrm>
              <a:off x="508636" y="3055251"/>
              <a:ext cx="1280160" cy="36576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l"/>
              <a:r>
                <a:rPr lang="en-US" sz="1400" b="1" i="0" u="none" strike="noStrike" cap="none" spc="0">
                  <a:ln>
                    <a:noFill/>
                  </a:ln>
                  <a:solidFill>
                    <a:schemeClr val="bg1"/>
                  </a:solidFill>
                  <a:effectLst/>
                  <a:latin typeface="Calibri" panose="020F0502020204030204" pitchFamily="34" charset="0"/>
                  <a:ea typeface="Calibri" panose="020F0502020204030204" pitchFamily="34" charset="0"/>
                  <a:cs typeface="Calibri" panose="020F0502020204030204" pitchFamily="34" charset="0"/>
                </a:rPr>
                <a:t>New Entry</a:t>
              </a:r>
            </a:p>
          </xdr:txBody>
        </xdr:sp>
      </xdr:grpSp>
    </xdr:grpSp>
    <xdr:clientData/>
  </xdr:twoCellAnchor>
  <xdr:twoCellAnchor editAs="absolute">
    <xdr:from>
      <xdr:col>3</xdr:col>
      <xdr:colOff>0</xdr:colOff>
      <xdr:row>1</xdr:row>
      <xdr:rowOff>0</xdr:rowOff>
    </xdr:from>
    <xdr:to>
      <xdr:col>16</xdr:col>
      <xdr:colOff>45720</xdr:colOff>
      <xdr:row>2</xdr:row>
      <xdr:rowOff>0</xdr:rowOff>
    </xdr:to>
    <xdr:sp macro="" textlink="">
      <xdr:nvSpPr>
        <xdr:cNvPr id="15" name="Rectangle 14">
          <a:extLst>
            <a:ext uri="{FF2B5EF4-FFF2-40B4-BE49-F238E27FC236}">
              <a16:creationId xmlns:a16="http://schemas.microsoft.com/office/drawing/2014/main" id="{67DDC121-018E-4AB8-B9AB-921AB9185A0B}"/>
            </a:ext>
            <a:ext uri="{147F2762-F138-4A5C-976F-8EAC2B608ADB}">
              <a16:predDERef xmlns:a16="http://schemas.microsoft.com/office/drawing/2014/main" pred="{B529C433-0A7C-4EBC-AB03-1D070C50BECA}"/>
            </a:ext>
          </a:extLst>
        </xdr:cNvPr>
        <xdr:cNvSpPr/>
      </xdr:nvSpPr>
      <xdr:spPr>
        <a:xfrm>
          <a:off x="2392680" y="129540"/>
          <a:ext cx="11483340" cy="487680"/>
        </a:xfrm>
        <a:prstGeom prst="rect">
          <a:avLst/>
        </a:prstGeom>
        <a:solidFill>
          <a:srgbClr val="FFC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000" b="1">
              <a:solidFill>
                <a:schemeClr val="tx1"/>
              </a:solidFill>
            </a:rPr>
            <a:t>Customer</a:t>
          </a:r>
        </a:p>
      </xdr:txBody>
    </xdr:sp>
    <xdr:clientData/>
  </xdr:twoCellAnchor>
  <mc:AlternateContent xmlns:mc="http://schemas.openxmlformats.org/markup-compatibility/2006">
    <mc:Choice xmlns:a14="http://schemas.microsoft.com/office/drawing/2010/main" Requires="a14">
      <xdr:twoCellAnchor editAs="absolute">
        <xdr:from>
          <xdr:col>9</xdr:col>
          <xdr:colOff>68580</xdr:colOff>
          <xdr:row>5</xdr:row>
          <xdr:rowOff>144780</xdr:rowOff>
        </xdr:from>
        <xdr:to>
          <xdr:col>11</xdr:col>
          <xdr:colOff>53340</xdr:colOff>
          <xdr:row>7</xdr:row>
          <xdr:rowOff>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Calibri"/>
                  <a:cs typeface="Calibri"/>
                </a:rPr>
                <a:t>Add Customer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4</xdr:col>
      <xdr:colOff>1121113</xdr:colOff>
      <xdr:row>3</xdr:row>
      <xdr:rowOff>34368</xdr:rowOff>
    </xdr:from>
    <xdr:to>
      <xdr:col>6</xdr:col>
      <xdr:colOff>1078077</xdr:colOff>
      <xdr:row>10</xdr:row>
      <xdr:rowOff>176494</xdr:rowOff>
    </xdr:to>
    <xdr:graphicFrame macro="">
      <xdr:nvGraphicFramePr>
        <xdr:cNvPr id="3" name="Chart 2">
          <a:extLst>
            <a:ext uri="{FF2B5EF4-FFF2-40B4-BE49-F238E27FC236}">
              <a16:creationId xmlns:a16="http://schemas.microsoft.com/office/drawing/2014/main" id="{4957D2BA-5382-33E1-02E5-31026780E41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966808</xdr:colOff>
      <xdr:row>7</xdr:row>
      <xdr:rowOff>25937</xdr:rowOff>
    </xdr:from>
    <xdr:to>
      <xdr:col>11</xdr:col>
      <xdr:colOff>444230</xdr:colOff>
      <xdr:row>16</xdr:row>
      <xdr:rowOff>102137</xdr:rowOff>
    </xdr:to>
    <xdr:graphicFrame macro="">
      <xdr:nvGraphicFramePr>
        <xdr:cNvPr id="4" name="Chart 3">
          <a:extLst>
            <a:ext uri="{FF2B5EF4-FFF2-40B4-BE49-F238E27FC236}">
              <a16:creationId xmlns:a16="http://schemas.microsoft.com/office/drawing/2014/main" id="{5D47EF86-B629-8D23-F089-7E529025C0F1}"/>
            </a:ext>
            <a:ext uri="{147F2762-F138-4A5C-976F-8EAC2B608ADB}">
              <a16:predDERef xmlns:a16="http://schemas.microsoft.com/office/drawing/2014/main" pred="{4957D2BA-5382-33E1-02E5-31026780E41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10</xdr:col>
      <xdr:colOff>1249251</xdr:colOff>
      <xdr:row>2</xdr:row>
      <xdr:rowOff>12500</xdr:rowOff>
    </xdr:from>
    <xdr:to>
      <xdr:col>12</xdr:col>
      <xdr:colOff>879893</xdr:colOff>
      <xdr:row>7</xdr:row>
      <xdr:rowOff>81081</xdr:rowOff>
    </xdr:to>
    <mc:AlternateContent xmlns:mc="http://schemas.openxmlformats.org/markup-compatibility/2006" xmlns:a14="http://schemas.microsoft.com/office/drawing/2010/main">
      <mc:Choice Requires="a14">
        <xdr:graphicFrame macro="">
          <xdr:nvGraphicFramePr>
            <xdr:cNvPr id="5" name="Year">
              <a:extLst>
                <a:ext uri="{FF2B5EF4-FFF2-40B4-BE49-F238E27FC236}">
                  <a16:creationId xmlns:a16="http://schemas.microsoft.com/office/drawing/2014/main" id="{335314F4-D98A-056E-F151-E1612373C953}"/>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4391611" y="372096"/>
              <a:ext cx="1822462" cy="9675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15</xdr:col>
      <xdr:colOff>72298</xdr:colOff>
      <xdr:row>11</xdr:row>
      <xdr:rowOff>74140</xdr:rowOff>
    </xdr:from>
    <xdr:to>
      <xdr:col>17</xdr:col>
      <xdr:colOff>521513</xdr:colOff>
      <xdr:row>20</xdr:row>
      <xdr:rowOff>83365</xdr:rowOff>
    </xdr:to>
    <xdr:graphicFrame macro="">
      <xdr:nvGraphicFramePr>
        <xdr:cNvPr id="13" name="Chart 12">
          <a:extLst>
            <a:ext uri="{FF2B5EF4-FFF2-40B4-BE49-F238E27FC236}">
              <a16:creationId xmlns:a16="http://schemas.microsoft.com/office/drawing/2014/main" id="{043D0DCE-B6B0-81A7-10DC-148132BC6F96}"/>
            </a:ext>
            <a:ext uri="{147F2762-F138-4A5C-976F-8EAC2B608ADB}">
              <a16:predDERef xmlns:a16="http://schemas.microsoft.com/office/drawing/2014/main" pred="{335314F4-D98A-056E-F151-E1612373C95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9</xdr:col>
      <xdr:colOff>129089</xdr:colOff>
      <xdr:row>49</xdr:row>
      <xdr:rowOff>11454</xdr:rowOff>
    </xdr:from>
    <xdr:to>
      <xdr:col>10</xdr:col>
      <xdr:colOff>972291</xdr:colOff>
      <xdr:row>62</xdr:row>
      <xdr:rowOff>80135</xdr:rowOff>
    </xdr:to>
    <mc:AlternateContent xmlns:mc="http://schemas.openxmlformats.org/markup-compatibility/2006" xmlns:a14="http://schemas.microsoft.com/office/drawing/2010/main">
      <mc:Choice Requires="a14">
        <xdr:graphicFrame macro="">
          <xdr:nvGraphicFramePr>
            <xdr:cNvPr id="6" name="Months (Date)">
              <a:extLst>
                <a:ext uri="{FF2B5EF4-FFF2-40B4-BE49-F238E27FC236}">
                  <a16:creationId xmlns:a16="http://schemas.microsoft.com/office/drawing/2014/main" id="{2F31171C-7F39-ED67-3020-494396CBE416}"/>
                </a:ext>
              </a:extLst>
            </xdr:cNvPr>
            <xdr:cNvGraphicFramePr/>
          </xdr:nvGraphicFramePr>
          <xdr:xfrm>
            <a:off x="0" y="0"/>
            <a:ext cx="0" cy="0"/>
          </xdr:xfrm>
          <a:graphic>
            <a:graphicData uri="http://schemas.microsoft.com/office/drawing/2010/slicer">
              <sle:slicer xmlns:sle="http://schemas.microsoft.com/office/drawing/2010/slicer" name="Months (Date)"/>
            </a:graphicData>
          </a:graphic>
        </xdr:graphicFrame>
      </mc:Choice>
      <mc:Fallback xmlns="">
        <xdr:sp macro="" textlink="">
          <xdr:nvSpPr>
            <xdr:cNvPr id="0" name=""/>
            <xdr:cNvSpPr>
              <a:spLocks noTextEdit="1"/>
            </xdr:cNvSpPr>
          </xdr:nvSpPr>
          <xdr:spPr>
            <a:xfrm>
              <a:off x="12286842" y="8821544"/>
              <a:ext cx="1827809" cy="240605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1542493</xdr:colOff>
      <xdr:row>29</xdr:row>
      <xdr:rowOff>73889</xdr:rowOff>
    </xdr:from>
    <xdr:to>
      <xdr:col>9</xdr:col>
      <xdr:colOff>100686</xdr:colOff>
      <xdr:row>43</xdr:row>
      <xdr:rowOff>23696</xdr:rowOff>
    </xdr:to>
    <mc:AlternateContent xmlns:mc="http://schemas.openxmlformats.org/markup-compatibility/2006" xmlns:a14="http://schemas.microsoft.com/office/drawing/2010/main">
      <mc:Choice Requires="a14">
        <xdr:graphicFrame macro="">
          <xdr:nvGraphicFramePr>
            <xdr:cNvPr id="8" name="Product Name">
              <a:extLst>
                <a:ext uri="{FF2B5EF4-FFF2-40B4-BE49-F238E27FC236}">
                  <a16:creationId xmlns:a16="http://schemas.microsoft.com/office/drawing/2014/main" id="{F1BBAC81-72F6-2E93-B8EB-67B5D6986213}"/>
                </a:ext>
              </a:extLst>
            </xdr:cNvPr>
            <xdr:cNvGraphicFramePr/>
          </xdr:nvGraphicFramePr>
          <xdr:xfrm>
            <a:off x="0" y="0"/>
            <a:ext cx="0" cy="0"/>
          </xdr:xfrm>
          <a:graphic>
            <a:graphicData uri="http://schemas.microsoft.com/office/drawing/2010/slicer">
              <sle:slicer xmlns:sle="http://schemas.microsoft.com/office/drawing/2010/slicer" name="Product Name"/>
            </a:graphicData>
          </a:graphic>
        </xdr:graphicFrame>
      </mc:Choice>
      <mc:Fallback xmlns="">
        <xdr:sp macro="" textlink="">
          <xdr:nvSpPr>
            <xdr:cNvPr id="0" name=""/>
            <xdr:cNvSpPr>
              <a:spLocks noTextEdit="1"/>
            </xdr:cNvSpPr>
          </xdr:nvSpPr>
          <xdr:spPr>
            <a:xfrm>
              <a:off x="10429639" y="5288024"/>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49</xdr:row>
      <xdr:rowOff>92467</xdr:rowOff>
    </xdr:from>
    <xdr:to>
      <xdr:col>2</xdr:col>
      <xdr:colOff>599325</xdr:colOff>
      <xdr:row>64</xdr:row>
      <xdr:rowOff>138701</xdr:rowOff>
    </xdr:to>
    <xdr:graphicFrame macro="">
      <xdr:nvGraphicFramePr>
        <xdr:cNvPr id="12" name="Chart 11">
          <a:extLst>
            <a:ext uri="{FF2B5EF4-FFF2-40B4-BE49-F238E27FC236}">
              <a16:creationId xmlns:a16="http://schemas.microsoft.com/office/drawing/2014/main" id="{D0807E7E-C8E5-6FCC-EA13-34FBE9070FA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absolute">
    <xdr:from>
      <xdr:col>3</xdr:col>
      <xdr:colOff>0</xdr:colOff>
      <xdr:row>1</xdr:row>
      <xdr:rowOff>0</xdr:rowOff>
    </xdr:from>
    <xdr:to>
      <xdr:col>18</xdr:col>
      <xdr:colOff>76200</xdr:colOff>
      <xdr:row>2</xdr:row>
      <xdr:rowOff>0</xdr:rowOff>
    </xdr:to>
    <xdr:sp macro="" textlink="">
      <xdr:nvSpPr>
        <xdr:cNvPr id="15" name="Rectangle 14">
          <a:extLst>
            <a:ext uri="{FF2B5EF4-FFF2-40B4-BE49-F238E27FC236}">
              <a16:creationId xmlns:a16="http://schemas.microsoft.com/office/drawing/2014/main" id="{88F9712B-873D-4CF7-9597-F0CD55420794}"/>
            </a:ext>
          </a:extLst>
        </xdr:cNvPr>
        <xdr:cNvSpPr/>
      </xdr:nvSpPr>
      <xdr:spPr>
        <a:xfrm>
          <a:off x="2392680" y="129540"/>
          <a:ext cx="11551920" cy="487680"/>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000" b="1">
              <a:solidFill>
                <a:schemeClr val="tx1"/>
              </a:solidFill>
            </a:rPr>
            <a:t>Product</a:t>
          </a:r>
        </a:p>
      </xdr:txBody>
    </xdr:sp>
    <xdr:clientData/>
  </xdr:twoCellAnchor>
  <xdr:twoCellAnchor editAs="absolute">
    <xdr:from>
      <xdr:col>2</xdr:col>
      <xdr:colOff>302895</xdr:colOff>
      <xdr:row>1</xdr:row>
      <xdr:rowOff>15240</xdr:rowOff>
    </xdr:from>
    <xdr:to>
      <xdr:col>17</xdr:col>
      <xdr:colOff>584835</xdr:colOff>
      <xdr:row>2</xdr:row>
      <xdr:rowOff>15240</xdr:rowOff>
    </xdr:to>
    <xdr:sp macro="" textlink="">
      <xdr:nvSpPr>
        <xdr:cNvPr id="29" name="Rectangle 28">
          <a:extLst>
            <a:ext uri="{FF2B5EF4-FFF2-40B4-BE49-F238E27FC236}">
              <a16:creationId xmlns:a16="http://schemas.microsoft.com/office/drawing/2014/main" id="{7BE6562B-766C-47A4-981F-0F98C3B4BCDE}"/>
            </a:ext>
            <a:ext uri="{147F2762-F138-4A5C-976F-8EAC2B608ADB}">
              <a16:predDERef xmlns:a16="http://schemas.microsoft.com/office/drawing/2014/main" pred="{B529C433-0A7C-4EBC-AB03-1D070C50BECA}"/>
            </a:ext>
          </a:extLst>
        </xdr:cNvPr>
        <xdr:cNvSpPr/>
      </xdr:nvSpPr>
      <xdr:spPr>
        <a:xfrm>
          <a:off x="2352675" y="144780"/>
          <a:ext cx="11483340" cy="487680"/>
        </a:xfrm>
        <a:prstGeom prst="rect">
          <a:avLst/>
        </a:prstGeom>
        <a:solidFill>
          <a:srgbClr val="FFC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000" b="1">
              <a:solidFill>
                <a:schemeClr val="tx1"/>
              </a:solidFill>
            </a:rPr>
            <a:t>Product</a:t>
          </a:r>
        </a:p>
      </xdr:txBody>
    </xdr:sp>
    <xdr:clientData/>
  </xdr:twoCellAnchor>
  <xdr:twoCellAnchor>
    <xdr:from>
      <xdr:col>1</xdr:col>
      <xdr:colOff>0</xdr:colOff>
      <xdr:row>1</xdr:row>
      <xdr:rowOff>0</xdr:rowOff>
    </xdr:from>
    <xdr:to>
      <xdr:col>1</xdr:col>
      <xdr:colOff>1674495</xdr:colOff>
      <xdr:row>21</xdr:row>
      <xdr:rowOff>73152</xdr:rowOff>
    </xdr:to>
    <xdr:grpSp>
      <xdr:nvGrpSpPr>
        <xdr:cNvPr id="56" name="Group 55">
          <a:hlinkClick xmlns:r="http://schemas.openxmlformats.org/officeDocument/2006/relationships" r:id="rId1"/>
          <a:extLst>
            <a:ext uri="{FF2B5EF4-FFF2-40B4-BE49-F238E27FC236}">
              <a16:creationId xmlns:a16="http://schemas.microsoft.com/office/drawing/2014/main" id="{E201F119-29C8-4B97-99D5-C3CE26779CA9}"/>
            </a:ext>
          </a:extLst>
        </xdr:cNvPr>
        <xdr:cNvGrpSpPr/>
      </xdr:nvGrpSpPr>
      <xdr:grpSpPr>
        <a:xfrm>
          <a:off x="335280" y="129540"/>
          <a:ext cx="1674495" cy="5544312"/>
          <a:chOff x="375285" y="629412"/>
          <a:chExt cx="1674495" cy="4236720"/>
        </a:xfrm>
        <a:solidFill>
          <a:srgbClr val="002060"/>
        </a:solidFill>
      </xdr:grpSpPr>
      <xdr:sp macro="" textlink="">
        <xdr:nvSpPr>
          <xdr:cNvPr id="57" name="Rectangle 56">
            <a:hlinkClick xmlns:r="http://schemas.openxmlformats.org/officeDocument/2006/relationships" r:id="rId2"/>
            <a:extLst>
              <a:ext uri="{FF2B5EF4-FFF2-40B4-BE49-F238E27FC236}">
                <a16:creationId xmlns:a16="http://schemas.microsoft.com/office/drawing/2014/main" id="{E2207685-F290-CCE9-9762-4C08280854D4}"/>
              </a:ext>
            </a:extLst>
          </xdr:cNvPr>
          <xdr:cNvSpPr/>
        </xdr:nvSpPr>
        <xdr:spPr>
          <a:xfrm>
            <a:off x="375285" y="629412"/>
            <a:ext cx="1674495" cy="4236720"/>
          </a:xfrm>
          <a:prstGeom prst="rect">
            <a:avLst/>
          </a:prstGeom>
          <a:grpFill/>
        </xdr:spPr>
        <xdr:style>
          <a:lnRef idx="2">
            <a:schemeClr val="accent3"/>
          </a:lnRef>
          <a:fillRef idx="1">
            <a:schemeClr val="lt1"/>
          </a:fillRef>
          <a:effectRef idx="0">
            <a:schemeClr val="accent3"/>
          </a:effectRef>
          <a:fontRef idx="minor">
            <a:schemeClr val="dk1"/>
          </a:fontRef>
        </xdr:style>
        <xdr:txBody>
          <a:bodyPr spcFirstLastPara="0" vertOverflow="clip" horzOverflow="clip" wrap="square" lIns="91440" tIns="45720" rIns="91440" bIns="45720" rtlCol="0" anchor="ctr">
            <a:noAutofit/>
          </a:bodyPr>
          <a:lstStyle/>
          <a:p>
            <a:pPr marL="0" indent="0" algn="ctr"/>
            <a:endParaRPr lang="en-US" sz="1100">
              <a:solidFill>
                <a:schemeClr val="bg1"/>
              </a:solidFill>
              <a:latin typeface="+mn-lt"/>
              <a:ea typeface="+mn-lt"/>
              <a:cs typeface="+mn-lt"/>
            </a:endParaRPr>
          </a:p>
        </xdr:txBody>
      </xdr:sp>
      <xdr:pic>
        <xdr:nvPicPr>
          <xdr:cNvPr id="58" name="Picture 57">
            <a:extLst>
              <a:ext uri="{FF2B5EF4-FFF2-40B4-BE49-F238E27FC236}">
                <a16:creationId xmlns:a16="http://schemas.microsoft.com/office/drawing/2014/main" id="{8E6F4B96-E75B-C503-772A-93E26BA6177A}"/>
              </a:ext>
              <a:ext uri="{147F2762-F138-4A5C-976F-8EAC2B608ADB}">
                <a16:predDERef xmlns:a16="http://schemas.microsoft.com/office/drawing/2014/main" pred="{F69C5330-EDCD-610B-0561-254E73F21250}"/>
              </a:ext>
            </a:extLst>
          </xdr:cNvPr>
          <xdr:cNvPicPr>
            <a:picLocks noChangeAspect="1"/>
          </xdr:cNvPicPr>
        </xdr:nvPicPr>
        <xdr:blipFill>
          <a:blip xmlns:r="http://schemas.openxmlformats.org/officeDocument/2006/relationships" r:embed="rId3"/>
          <a:stretch>
            <a:fillRect/>
          </a:stretch>
        </xdr:blipFill>
        <xdr:spPr>
          <a:xfrm>
            <a:off x="779145" y="790575"/>
            <a:ext cx="619125" cy="558165"/>
          </a:xfrm>
          <a:prstGeom prst="rect">
            <a:avLst/>
          </a:prstGeom>
          <a:grpFill/>
        </xdr:spPr>
      </xdr:pic>
      <xdr:sp macro="" textlink="">
        <xdr:nvSpPr>
          <xdr:cNvPr id="59" name="Rectangle 58">
            <a:extLst>
              <a:ext uri="{FF2B5EF4-FFF2-40B4-BE49-F238E27FC236}">
                <a16:creationId xmlns:a16="http://schemas.microsoft.com/office/drawing/2014/main" id="{C5AD6928-08C8-E2A2-58DB-58D4E0208AF0}"/>
              </a:ext>
              <a:ext uri="{147F2762-F138-4A5C-976F-8EAC2B608ADB}">
                <a16:predDERef xmlns:a16="http://schemas.microsoft.com/office/drawing/2014/main" pred="{8AB7CAF2-EA14-FF48-A653-C70706D078DB}"/>
              </a:ext>
            </a:extLst>
          </xdr:cNvPr>
          <xdr:cNvSpPr/>
        </xdr:nvSpPr>
        <xdr:spPr>
          <a:xfrm>
            <a:off x="381000" y="1348740"/>
            <a:ext cx="1630680" cy="54864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spcFirstLastPara="0" vertOverflow="clip" horzOverflow="clip" wrap="square" lIns="91440" tIns="45720" rIns="91440" bIns="45720" rtlCol="0" anchor="ctr">
            <a:noAutofit/>
          </a:bodyPr>
          <a:lstStyle/>
          <a:p>
            <a:pPr marL="0" indent="0" algn="ctr"/>
            <a:r>
              <a:rPr lang="en-US" sz="1200" b="1" i="0" u="none" strike="noStrike">
                <a:solidFill>
                  <a:schemeClr val="bg1"/>
                </a:solidFill>
                <a:latin typeface="Calibri" panose="020F0502020204030204" pitchFamily="34" charset="0"/>
                <a:ea typeface="Calibri" panose="020F0502020204030204" pitchFamily="34" charset="0"/>
                <a:cs typeface="Calibri" panose="020F0502020204030204" pitchFamily="34" charset="0"/>
              </a:rPr>
              <a:t>Inventory</a:t>
            </a:r>
            <a:r>
              <a:rPr lang="en-US" sz="1200" b="1" i="0" u="none" strike="noStrike" baseline="0">
                <a:solidFill>
                  <a:schemeClr val="bg1"/>
                </a:solidFill>
                <a:latin typeface="Calibri" panose="020F0502020204030204" pitchFamily="34" charset="0"/>
                <a:ea typeface="Calibri" panose="020F0502020204030204" pitchFamily="34" charset="0"/>
                <a:cs typeface="Calibri" panose="020F0502020204030204" pitchFamily="34" charset="0"/>
              </a:rPr>
              <a:t> </a:t>
            </a:r>
            <a:r>
              <a:rPr lang="en-US" sz="1200" b="1" i="0" u="none" strike="noStrike">
                <a:solidFill>
                  <a:schemeClr val="bg1"/>
                </a:solidFill>
                <a:latin typeface="Calibri" panose="020F0502020204030204" pitchFamily="34" charset="0"/>
                <a:ea typeface="Calibri" panose="020F0502020204030204" pitchFamily="34" charset="0"/>
                <a:cs typeface="Calibri" panose="020F0502020204030204" pitchFamily="34" charset="0"/>
              </a:rPr>
              <a:t>Management System</a:t>
            </a:r>
          </a:p>
        </xdr:txBody>
      </xdr:sp>
      <xdr:grpSp>
        <xdr:nvGrpSpPr>
          <xdr:cNvPr id="60" name="Group 59">
            <a:extLst>
              <a:ext uri="{FF2B5EF4-FFF2-40B4-BE49-F238E27FC236}">
                <a16:creationId xmlns:a16="http://schemas.microsoft.com/office/drawing/2014/main" id="{FB566FF7-BFA4-DB77-9B38-3EAEF6E308F6}"/>
              </a:ext>
            </a:extLst>
          </xdr:cNvPr>
          <xdr:cNvGrpSpPr/>
        </xdr:nvGrpSpPr>
        <xdr:grpSpPr>
          <a:xfrm>
            <a:off x="438152" y="1805941"/>
            <a:ext cx="1541144" cy="2873526"/>
            <a:chOff x="508636" y="1712595"/>
            <a:chExt cx="1280160" cy="2715411"/>
          </a:xfrm>
          <a:grpFill/>
        </xdr:grpSpPr>
        <xdr:sp macro="" textlink="">
          <xdr:nvSpPr>
            <xdr:cNvPr id="61" name="Rectangle 60">
              <a:hlinkClick xmlns:r="http://schemas.openxmlformats.org/officeDocument/2006/relationships" r:id="rId4"/>
              <a:extLst>
                <a:ext uri="{FF2B5EF4-FFF2-40B4-BE49-F238E27FC236}">
                  <a16:creationId xmlns:a16="http://schemas.microsoft.com/office/drawing/2014/main" id="{786B599D-F2EB-7DA8-9EF4-8B7BBD043F7C}"/>
                </a:ext>
                <a:ext uri="{147F2762-F138-4A5C-976F-8EAC2B608ADB}">
                  <a16:predDERef xmlns:a16="http://schemas.microsoft.com/office/drawing/2014/main" pred="{4FC661B3-B65D-9069-327A-3CED6E24A9A2}"/>
                </a:ext>
              </a:extLst>
            </xdr:cNvPr>
            <xdr:cNvSpPr/>
          </xdr:nvSpPr>
          <xdr:spPr>
            <a:xfrm>
              <a:off x="508636" y="1712595"/>
              <a:ext cx="1280160" cy="36576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l"/>
              <a:r>
                <a:rPr lang="en-US" sz="1400" b="1" i="0" u="none" strike="noStrike" cap="none" spc="0">
                  <a:ln>
                    <a:noFill/>
                  </a:ln>
                  <a:solidFill>
                    <a:schemeClr val="bg1"/>
                  </a:solidFill>
                  <a:effectLst/>
                  <a:latin typeface="Calibri" panose="020F0502020204030204" pitchFamily="34" charset="0"/>
                  <a:ea typeface="Calibri" panose="020F0502020204030204" pitchFamily="34" charset="0"/>
                  <a:cs typeface="Calibri" panose="020F0502020204030204" pitchFamily="34" charset="0"/>
                </a:rPr>
                <a:t>Dashboard</a:t>
              </a:r>
            </a:p>
          </xdr:txBody>
        </xdr:sp>
        <xdr:sp macro="" textlink="">
          <xdr:nvSpPr>
            <xdr:cNvPr id="62" name="Rectangle 61">
              <a:extLst>
                <a:ext uri="{FF2B5EF4-FFF2-40B4-BE49-F238E27FC236}">
                  <a16:creationId xmlns:a16="http://schemas.microsoft.com/office/drawing/2014/main" id="{9AAC0A18-EB3F-AABC-CAC8-22A2C734F686}"/>
                </a:ext>
                <a:ext uri="{147F2762-F138-4A5C-976F-8EAC2B608ADB}">
                  <a16:predDERef xmlns:a16="http://schemas.microsoft.com/office/drawing/2014/main" pred="{6509E627-4724-4D01-84D5-43BB31EFA888}"/>
                </a:ext>
              </a:extLst>
            </xdr:cNvPr>
            <xdr:cNvSpPr/>
          </xdr:nvSpPr>
          <xdr:spPr>
            <a:xfrm>
              <a:off x="508636" y="2383923"/>
              <a:ext cx="1280160" cy="36576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l"/>
              <a:r>
                <a:rPr lang="en-US" sz="1400" b="1" i="0" u="sng" strike="noStrike" cap="none" spc="0">
                  <a:ln>
                    <a:noFill/>
                  </a:ln>
                  <a:solidFill>
                    <a:schemeClr val="bg1"/>
                  </a:solidFill>
                  <a:effectLst/>
                  <a:latin typeface="Calibri" panose="020F0502020204030204" pitchFamily="34" charset="0"/>
                  <a:ea typeface="Calibri" panose="020F0502020204030204" pitchFamily="34" charset="0"/>
                  <a:cs typeface="Calibri" panose="020F0502020204030204" pitchFamily="34" charset="0"/>
                </a:rPr>
                <a:t>Products</a:t>
              </a:r>
            </a:p>
          </xdr:txBody>
        </xdr:sp>
        <xdr:sp macro="" textlink="">
          <xdr:nvSpPr>
            <xdr:cNvPr id="63" name="Rectangle 62">
              <a:hlinkClick xmlns:r="http://schemas.openxmlformats.org/officeDocument/2006/relationships" r:id="rId5"/>
              <a:extLst>
                <a:ext uri="{FF2B5EF4-FFF2-40B4-BE49-F238E27FC236}">
                  <a16:creationId xmlns:a16="http://schemas.microsoft.com/office/drawing/2014/main" id="{DA991D09-6B41-8F4A-7E69-D678DAD0A19B}"/>
                </a:ext>
                <a:ext uri="{147F2762-F138-4A5C-976F-8EAC2B608ADB}">
                  <a16:predDERef xmlns:a16="http://schemas.microsoft.com/office/drawing/2014/main" pred="{B939FB6C-1C16-4487-9A17-1D721E089D8C}"/>
                </a:ext>
              </a:extLst>
            </xdr:cNvPr>
            <xdr:cNvSpPr/>
          </xdr:nvSpPr>
          <xdr:spPr>
            <a:xfrm>
              <a:off x="508636" y="2048259"/>
              <a:ext cx="1280160" cy="36576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l"/>
              <a:r>
                <a:rPr lang="en-US" sz="1400" b="1" i="0" u="none" strike="noStrike" cap="none" spc="0" baseline="0">
                  <a:ln>
                    <a:noFill/>
                  </a:ln>
                  <a:solidFill>
                    <a:schemeClr val="bg1"/>
                  </a:solidFill>
                  <a:effectLst/>
                  <a:uFill>
                    <a:solidFill>
                      <a:srgbClr val="0070C0"/>
                    </a:solidFill>
                  </a:uFill>
                  <a:latin typeface="Calibri" panose="020F0502020204030204" pitchFamily="34" charset="0"/>
                  <a:ea typeface="Calibri" panose="020F0502020204030204" pitchFamily="34" charset="0"/>
                  <a:cs typeface="Calibri" panose="020F0502020204030204" pitchFamily="34" charset="0"/>
                </a:rPr>
                <a:t>Customer</a:t>
              </a:r>
            </a:p>
          </xdr:txBody>
        </xdr:sp>
        <xdr:sp macro="" textlink="">
          <xdr:nvSpPr>
            <xdr:cNvPr id="64" name="Rectangle 63">
              <a:hlinkClick xmlns:r="http://schemas.openxmlformats.org/officeDocument/2006/relationships" r:id="rId6"/>
              <a:extLst>
                <a:ext uri="{FF2B5EF4-FFF2-40B4-BE49-F238E27FC236}">
                  <a16:creationId xmlns:a16="http://schemas.microsoft.com/office/drawing/2014/main" id="{656ECDC2-9885-B016-CFD0-58849A1E9709}"/>
                </a:ext>
                <a:ext uri="{147F2762-F138-4A5C-976F-8EAC2B608ADB}">
                  <a16:predDERef xmlns:a16="http://schemas.microsoft.com/office/drawing/2014/main" pred="{2B51644E-4193-4C75-9F74-3F9998592107}"/>
                </a:ext>
              </a:extLst>
            </xdr:cNvPr>
            <xdr:cNvSpPr/>
          </xdr:nvSpPr>
          <xdr:spPr>
            <a:xfrm>
              <a:off x="508636" y="4062246"/>
              <a:ext cx="1280160" cy="36576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l"/>
              <a:r>
                <a:rPr lang="en-US" sz="1400" b="1" i="0" u="none" strike="noStrike" cap="none" spc="0">
                  <a:ln>
                    <a:noFill/>
                  </a:ln>
                  <a:solidFill>
                    <a:schemeClr val="bg1"/>
                  </a:solidFill>
                  <a:effectLst/>
                  <a:latin typeface="Calibri" panose="020F0502020204030204" pitchFamily="34" charset="0"/>
                  <a:ea typeface="Calibri" panose="020F0502020204030204" pitchFamily="34" charset="0"/>
                  <a:cs typeface="Calibri" panose="020F0502020204030204" pitchFamily="34" charset="0"/>
                </a:rPr>
                <a:t>Inventory</a:t>
              </a:r>
            </a:p>
          </xdr:txBody>
        </xdr:sp>
        <xdr:sp macro="" textlink="">
          <xdr:nvSpPr>
            <xdr:cNvPr id="65" name="Rectangle 64">
              <a:hlinkClick xmlns:r="http://schemas.openxmlformats.org/officeDocument/2006/relationships" r:id="rId7"/>
              <a:extLst>
                <a:ext uri="{FF2B5EF4-FFF2-40B4-BE49-F238E27FC236}">
                  <a16:creationId xmlns:a16="http://schemas.microsoft.com/office/drawing/2014/main" id="{E7D47DA7-7809-30C6-B7A6-8545F0D192E2}"/>
                </a:ext>
                <a:ext uri="{147F2762-F138-4A5C-976F-8EAC2B608ADB}">
                  <a16:predDERef xmlns:a16="http://schemas.microsoft.com/office/drawing/2014/main" pred="{DA23F778-6EFE-4C39-B222-9858666608E4}"/>
                </a:ext>
              </a:extLst>
            </xdr:cNvPr>
            <xdr:cNvSpPr/>
          </xdr:nvSpPr>
          <xdr:spPr>
            <a:xfrm>
              <a:off x="508636" y="3726579"/>
              <a:ext cx="1280160" cy="36576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l"/>
              <a:r>
                <a:rPr lang="en-US" sz="1400" b="1" i="0" u="none" strike="noStrike" cap="none" spc="0">
                  <a:ln>
                    <a:noFill/>
                  </a:ln>
                  <a:solidFill>
                    <a:schemeClr val="bg1"/>
                  </a:solidFill>
                  <a:effectLst/>
                  <a:latin typeface="Calibri" panose="020F0502020204030204" pitchFamily="34" charset="0"/>
                  <a:ea typeface="Calibri" panose="020F0502020204030204" pitchFamily="34" charset="0"/>
                  <a:cs typeface="Calibri" panose="020F0502020204030204" pitchFamily="34" charset="0"/>
                </a:rPr>
                <a:t>Sales</a:t>
              </a:r>
            </a:p>
          </xdr:txBody>
        </xdr:sp>
        <xdr:sp macro="" textlink="">
          <xdr:nvSpPr>
            <xdr:cNvPr id="66" name="Rectangle 65">
              <a:hlinkClick xmlns:r="http://schemas.openxmlformats.org/officeDocument/2006/relationships" r:id="rId8"/>
              <a:extLst>
                <a:ext uri="{FF2B5EF4-FFF2-40B4-BE49-F238E27FC236}">
                  <a16:creationId xmlns:a16="http://schemas.microsoft.com/office/drawing/2014/main" id="{C23DB4A1-F9AC-8FB0-8165-D22D1CECF136}"/>
                </a:ext>
                <a:ext uri="{147F2762-F138-4A5C-976F-8EAC2B608ADB}">
                  <a16:predDERef xmlns:a16="http://schemas.microsoft.com/office/drawing/2014/main" pred="{6FFFF218-B18D-41AA-AA29-6979FA38A556}"/>
                </a:ext>
              </a:extLst>
            </xdr:cNvPr>
            <xdr:cNvSpPr/>
          </xdr:nvSpPr>
          <xdr:spPr>
            <a:xfrm>
              <a:off x="508636" y="2719587"/>
              <a:ext cx="1280160" cy="36576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l"/>
              <a:r>
                <a:rPr lang="en-US" sz="1400" b="1" i="0" u="none" strike="noStrike" cap="none" spc="0">
                  <a:ln>
                    <a:noFill/>
                  </a:ln>
                  <a:solidFill>
                    <a:schemeClr val="bg1"/>
                  </a:solidFill>
                  <a:effectLst/>
                  <a:latin typeface="Calibri" panose="020F0502020204030204" pitchFamily="34" charset="0"/>
                  <a:ea typeface="Calibri" panose="020F0502020204030204" pitchFamily="34" charset="0"/>
                  <a:cs typeface="Calibri" panose="020F0502020204030204" pitchFamily="34" charset="0"/>
                </a:rPr>
                <a:t>Vendor</a:t>
              </a:r>
            </a:p>
          </xdr:txBody>
        </xdr:sp>
        <xdr:sp macro="" textlink="">
          <xdr:nvSpPr>
            <xdr:cNvPr id="67" name="Rectangle 66">
              <a:hlinkClick xmlns:r="http://schemas.openxmlformats.org/officeDocument/2006/relationships" r:id="rId9"/>
              <a:extLst>
                <a:ext uri="{FF2B5EF4-FFF2-40B4-BE49-F238E27FC236}">
                  <a16:creationId xmlns:a16="http://schemas.microsoft.com/office/drawing/2014/main" id="{63333210-F68D-BEFD-5443-35342D8A64F1}"/>
                </a:ext>
                <a:ext uri="{147F2762-F138-4A5C-976F-8EAC2B608ADB}">
                  <a16:predDERef xmlns:a16="http://schemas.microsoft.com/office/drawing/2014/main" pred="{739F558E-A3F0-4E64-A7EB-65EC3C82B736}"/>
                </a:ext>
              </a:extLst>
            </xdr:cNvPr>
            <xdr:cNvSpPr/>
          </xdr:nvSpPr>
          <xdr:spPr>
            <a:xfrm>
              <a:off x="508636" y="3390915"/>
              <a:ext cx="1280160" cy="36576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l"/>
              <a:r>
                <a:rPr lang="en-US" sz="1400" b="1" i="0" u="none" strike="noStrike" cap="none" spc="0">
                  <a:ln>
                    <a:noFill/>
                  </a:ln>
                  <a:solidFill>
                    <a:schemeClr val="bg1"/>
                  </a:solidFill>
                  <a:effectLst/>
                  <a:latin typeface="Calibri" panose="020F0502020204030204" pitchFamily="34" charset="0"/>
                  <a:ea typeface="Calibri" panose="020F0502020204030204" pitchFamily="34" charset="0"/>
                  <a:cs typeface="Calibri" panose="020F0502020204030204" pitchFamily="34" charset="0"/>
                </a:rPr>
                <a:t>Purchase</a:t>
              </a:r>
            </a:p>
          </xdr:txBody>
        </xdr:sp>
        <xdr:sp macro="" textlink="">
          <xdr:nvSpPr>
            <xdr:cNvPr id="68" name="Rectangle 67">
              <a:hlinkClick xmlns:r="http://schemas.openxmlformats.org/officeDocument/2006/relationships" r:id="rId10"/>
              <a:extLst>
                <a:ext uri="{FF2B5EF4-FFF2-40B4-BE49-F238E27FC236}">
                  <a16:creationId xmlns:a16="http://schemas.microsoft.com/office/drawing/2014/main" id="{316BD0E1-738D-463C-B74A-0A12CAE776A7}"/>
                </a:ext>
                <a:ext uri="{147F2762-F138-4A5C-976F-8EAC2B608ADB}">
                  <a16:predDERef xmlns:a16="http://schemas.microsoft.com/office/drawing/2014/main" pred="{72F0AEE9-A685-4715-905D-5AA50B2CC832}"/>
                </a:ext>
              </a:extLst>
            </xdr:cNvPr>
            <xdr:cNvSpPr/>
          </xdr:nvSpPr>
          <xdr:spPr>
            <a:xfrm>
              <a:off x="508636" y="3055251"/>
              <a:ext cx="1280160" cy="36576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l"/>
              <a:r>
                <a:rPr lang="en-US" sz="1400" b="1" i="0" u="none" strike="noStrike" cap="none" spc="0">
                  <a:ln>
                    <a:noFill/>
                  </a:ln>
                  <a:solidFill>
                    <a:schemeClr val="bg1"/>
                  </a:solidFill>
                  <a:effectLst/>
                  <a:latin typeface="Calibri" panose="020F0502020204030204" pitchFamily="34" charset="0"/>
                  <a:ea typeface="Calibri" panose="020F0502020204030204" pitchFamily="34" charset="0"/>
                  <a:cs typeface="Calibri" panose="020F0502020204030204" pitchFamily="34" charset="0"/>
                </a:rPr>
                <a:t>New Entry</a:t>
              </a:r>
            </a:p>
          </xdr:txBody>
        </xdr:sp>
      </xdr:grpSp>
    </xdr:grpSp>
    <xdr:clientData/>
  </xdr:twoCellAnchor>
  <xdr:twoCellAnchor>
    <xdr:from>
      <xdr:col>8</xdr:col>
      <xdr:colOff>236220</xdr:colOff>
      <xdr:row>4</xdr:row>
      <xdr:rowOff>114300</xdr:rowOff>
    </xdr:from>
    <xdr:to>
      <xdr:col>10</xdr:col>
      <xdr:colOff>182880</xdr:colOff>
      <xdr:row>6</xdr:row>
      <xdr:rowOff>22860</xdr:rowOff>
    </xdr:to>
    <xdr:sp macro="[0]!ShowHSNDetailsForm" textlink="">
      <xdr:nvSpPr>
        <xdr:cNvPr id="3" name="Rectangle: Rounded Corners 2">
          <a:extLst>
            <a:ext uri="{FF2B5EF4-FFF2-40B4-BE49-F238E27FC236}">
              <a16:creationId xmlns:a16="http://schemas.microsoft.com/office/drawing/2014/main" id="{30F98AD4-5426-40BC-9FA2-EA49025C2A66}"/>
            </a:ext>
          </a:extLst>
        </xdr:cNvPr>
        <xdr:cNvSpPr/>
      </xdr:nvSpPr>
      <xdr:spPr>
        <a:xfrm>
          <a:off x="8001000" y="1181100"/>
          <a:ext cx="1165860" cy="441960"/>
        </a:xfrm>
        <a:prstGeom prst="roundRect">
          <a:avLst/>
        </a:prstGeom>
        <a:solidFill>
          <a:schemeClr val="tx1">
            <a:lumMod val="85000"/>
            <a:lumOff val="15000"/>
          </a:schemeClr>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600">
              <a:solidFill>
                <a:schemeClr val="bg1"/>
              </a:solidFill>
            </a:rPr>
            <a:t>Edit</a:t>
          </a:r>
        </a:p>
        <a:p>
          <a:pPr algn="ctr"/>
          <a:endParaRPr lang="en-US" sz="1600">
            <a:solidFill>
              <a:schemeClr val="bg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3</xdr:col>
      <xdr:colOff>0</xdr:colOff>
      <xdr:row>1</xdr:row>
      <xdr:rowOff>0</xdr:rowOff>
    </xdr:from>
    <xdr:to>
      <xdr:col>17</xdr:col>
      <xdr:colOff>1905</xdr:colOff>
      <xdr:row>2</xdr:row>
      <xdr:rowOff>0</xdr:rowOff>
    </xdr:to>
    <xdr:sp macro="" textlink="">
      <xdr:nvSpPr>
        <xdr:cNvPr id="15" name="Rectangle 14">
          <a:extLst>
            <a:ext uri="{FF2B5EF4-FFF2-40B4-BE49-F238E27FC236}">
              <a16:creationId xmlns:a16="http://schemas.microsoft.com/office/drawing/2014/main" id="{636AFB0A-2D9E-41E1-837E-6C1E1B0C0D98}"/>
            </a:ext>
          </a:extLst>
        </xdr:cNvPr>
        <xdr:cNvSpPr/>
      </xdr:nvSpPr>
      <xdr:spPr>
        <a:xfrm>
          <a:off x="2392680" y="129540"/>
          <a:ext cx="11567160" cy="487680"/>
        </a:xfrm>
        <a:prstGeom prst="rect">
          <a:avLst/>
        </a:prstGeom>
        <a:solidFill>
          <a:srgbClr val="FFC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000" b="1">
              <a:solidFill>
                <a:schemeClr val="tx1"/>
              </a:solidFill>
            </a:rPr>
            <a:t>Purchase</a:t>
          </a:r>
        </a:p>
      </xdr:txBody>
    </xdr:sp>
    <xdr:clientData/>
  </xdr:twoCellAnchor>
  <xdr:twoCellAnchor>
    <xdr:from>
      <xdr:col>1</xdr:col>
      <xdr:colOff>68580</xdr:colOff>
      <xdr:row>1</xdr:row>
      <xdr:rowOff>15240</xdr:rowOff>
    </xdr:from>
    <xdr:to>
      <xdr:col>2</xdr:col>
      <xdr:colOff>28575</xdr:colOff>
      <xdr:row>19</xdr:row>
      <xdr:rowOff>202692</xdr:rowOff>
    </xdr:to>
    <xdr:grpSp>
      <xdr:nvGrpSpPr>
        <xdr:cNvPr id="16" name="Group 15">
          <a:hlinkClick xmlns:r="http://schemas.openxmlformats.org/officeDocument/2006/relationships" r:id="rId1"/>
          <a:extLst>
            <a:ext uri="{FF2B5EF4-FFF2-40B4-BE49-F238E27FC236}">
              <a16:creationId xmlns:a16="http://schemas.microsoft.com/office/drawing/2014/main" id="{36A5C393-A2F9-48D3-AF72-26332E38EEA2}"/>
            </a:ext>
          </a:extLst>
        </xdr:cNvPr>
        <xdr:cNvGrpSpPr/>
      </xdr:nvGrpSpPr>
      <xdr:grpSpPr>
        <a:xfrm>
          <a:off x="403860" y="144780"/>
          <a:ext cx="1674495" cy="5102352"/>
          <a:chOff x="375285" y="629412"/>
          <a:chExt cx="1674495" cy="4236720"/>
        </a:xfrm>
        <a:solidFill>
          <a:srgbClr val="002060"/>
        </a:solidFill>
      </xdr:grpSpPr>
      <xdr:sp macro="" textlink="">
        <xdr:nvSpPr>
          <xdr:cNvPr id="17" name="Rectangle 16">
            <a:hlinkClick xmlns:r="http://schemas.openxmlformats.org/officeDocument/2006/relationships" r:id="rId2"/>
            <a:extLst>
              <a:ext uri="{FF2B5EF4-FFF2-40B4-BE49-F238E27FC236}">
                <a16:creationId xmlns:a16="http://schemas.microsoft.com/office/drawing/2014/main" id="{8BEC47DA-79F4-6AAE-B18B-25A5CE4AE815}"/>
              </a:ext>
            </a:extLst>
          </xdr:cNvPr>
          <xdr:cNvSpPr/>
        </xdr:nvSpPr>
        <xdr:spPr>
          <a:xfrm>
            <a:off x="375285" y="629412"/>
            <a:ext cx="1674495" cy="4236720"/>
          </a:xfrm>
          <a:prstGeom prst="rect">
            <a:avLst/>
          </a:prstGeom>
          <a:grpFill/>
        </xdr:spPr>
        <xdr:style>
          <a:lnRef idx="2">
            <a:schemeClr val="accent3"/>
          </a:lnRef>
          <a:fillRef idx="1">
            <a:schemeClr val="lt1"/>
          </a:fillRef>
          <a:effectRef idx="0">
            <a:schemeClr val="accent3"/>
          </a:effectRef>
          <a:fontRef idx="minor">
            <a:schemeClr val="dk1"/>
          </a:fontRef>
        </xdr:style>
        <xdr:txBody>
          <a:bodyPr spcFirstLastPara="0" vertOverflow="clip" horzOverflow="clip" wrap="square" lIns="91440" tIns="45720" rIns="91440" bIns="45720" rtlCol="0" anchor="ctr">
            <a:noAutofit/>
          </a:bodyPr>
          <a:lstStyle/>
          <a:p>
            <a:pPr marL="0" indent="0" algn="ctr"/>
            <a:endParaRPr lang="en-US" sz="1100">
              <a:solidFill>
                <a:schemeClr val="bg1"/>
              </a:solidFill>
              <a:latin typeface="+mn-lt"/>
              <a:ea typeface="+mn-lt"/>
              <a:cs typeface="+mn-lt"/>
            </a:endParaRPr>
          </a:p>
        </xdr:txBody>
      </xdr:sp>
      <xdr:pic>
        <xdr:nvPicPr>
          <xdr:cNvPr id="18" name="Picture 17">
            <a:extLst>
              <a:ext uri="{FF2B5EF4-FFF2-40B4-BE49-F238E27FC236}">
                <a16:creationId xmlns:a16="http://schemas.microsoft.com/office/drawing/2014/main" id="{F68A232F-7FF1-59E7-8127-FCB1BD62748A}"/>
              </a:ext>
              <a:ext uri="{147F2762-F138-4A5C-976F-8EAC2B608ADB}">
                <a16:predDERef xmlns:a16="http://schemas.microsoft.com/office/drawing/2014/main" pred="{F69C5330-EDCD-610B-0561-254E73F21250}"/>
              </a:ext>
            </a:extLst>
          </xdr:cNvPr>
          <xdr:cNvPicPr>
            <a:picLocks noChangeAspect="1"/>
          </xdr:cNvPicPr>
        </xdr:nvPicPr>
        <xdr:blipFill>
          <a:blip xmlns:r="http://schemas.openxmlformats.org/officeDocument/2006/relationships" r:embed="rId3"/>
          <a:stretch>
            <a:fillRect/>
          </a:stretch>
        </xdr:blipFill>
        <xdr:spPr>
          <a:xfrm>
            <a:off x="779145" y="790575"/>
            <a:ext cx="619125" cy="558165"/>
          </a:xfrm>
          <a:prstGeom prst="rect">
            <a:avLst/>
          </a:prstGeom>
          <a:grpFill/>
        </xdr:spPr>
      </xdr:pic>
      <xdr:sp macro="" textlink="">
        <xdr:nvSpPr>
          <xdr:cNvPr id="19" name="Rectangle 18">
            <a:extLst>
              <a:ext uri="{FF2B5EF4-FFF2-40B4-BE49-F238E27FC236}">
                <a16:creationId xmlns:a16="http://schemas.microsoft.com/office/drawing/2014/main" id="{B6852B41-77EE-141B-2999-C2E16A693AD0}"/>
              </a:ext>
              <a:ext uri="{147F2762-F138-4A5C-976F-8EAC2B608ADB}">
                <a16:predDERef xmlns:a16="http://schemas.microsoft.com/office/drawing/2014/main" pred="{8AB7CAF2-EA14-FF48-A653-C70706D078DB}"/>
              </a:ext>
            </a:extLst>
          </xdr:cNvPr>
          <xdr:cNvSpPr/>
        </xdr:nvSpPr>
        <xdr:spPr>
          <a:xfrm>
            <a:off x="381000" y="1348740"/>
            <a:ext cx="1630680" cy="54864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spcFirstLastPara="0" vertOverflow="clip" horzOverflow="clip" wrap="square" lIns="91440" tIns="45720" rIns="91440" bIns="45720" rtlCol="0" anchor="ctr">
            <a:noAutofit/>
          </a:bodyPr>
          <a:lstStyle/>
          <a:p>
            <a:pPr marL="0" indent="0" algn="ctr"/>
            <a:r>
              <a:rPr lang="en-US" sz="1200" b="1" i="0" u="none" strike="noStrike">
                <a:solidFill>
                  <a:schemeClr val="bg1"/>
                </a:solidFill>
                <a:latin typeface="Calibri" panose="020F0502020204030204" pitchFamily="34" charset="0"/>
                <a:ea typeface="Calibri" panose="020F0502020204030204" pitchFamily="34" charset="0"/>
                <a:cs typeface="Calibri" panose="020F0502020204030204" pitchFamily="34" charset="0"/>
              </a:rPr>
              <a:t>Inventory</a:t>
            </a:r>
            <a:r>
              <a:rPr lang="en-US" sz="1200" b="1" i="0" u="none" strike="noStrike" baseline="0">
                <a:solidFill>
                  <a:schemeClr val="bg1"/>
                </a:solidFill>
                <a:latin typeface="Calibri" panose="020F0502020204030204" pitchFamily="34" charset="0"/>
                <a:ea typeface="Calibri" panose="020F0502020204030204" pitchFamily="34" charset="0"/>
                <a:cs typeface="Calibri" panose="020F0502020204030204" pitchFamily="34" charset="0"/>
              </a:rPr>
              <a:t> </a:t>
            </a:r>
            <a:r>
              <a:rPr lang="en-US" sz="1200" b="1" i="0" u="none" strike="noStrike">
                <a:solidFill>
                  <a:schemeClr val="bg1"/>
                </a:solidFill>
                <a:latin typeface="Calibri" panose="020F0502020204030204" pitchFamily="34" charset="0"/>
                <a:ea typeface="Calibri" panose="020F0502020204030204" pitchFamily="34" charset="0"/>
                <a:cs typeface="Calibri" panose="020F0502020204030204" pitchFamily="34" charset="0"/>
              </a:rPr>
              <a:t>Management System</a:t>
            </a:r>
          </a:p>
        </xdr:txBody>
      </xdr:sp>
      <xdr:grpSp>
        <xdr:nvGrpSpPr>
          <xdr:cNvPr id="20" name="Group 19">
            <a:extLst>
              <a:ext uri="{FF2B5EF4-FFF2-40B4-BE49-F238E27FC236}">
                <a16:creationId xmlns:a16="http://schemas.microsoft.com/office/drawing/2014/main" id="{D052353C-FF30-572E-37E7-30D5F2BD54DB}"/>
              </a:ext>
            </a:extLst>
          </xdr:cNvPr>
          <xdr:cNvGrpSpPr/>
        </xdr:nvGrpSpPr>
        <xdr:grpSpPr>
          <a:xfrm>
            <a:off x="438152" y="1805941"/>
            <a:ext cx="1541144" cy="2873526"/>
            <a:chOff x="508636" y="1712595"/>
            <a:chExt cx="1280160" cy="2715411"/>
          </a:xfrm>
          <a:grpFill/>
        </xdr:grpSpPr>
        <xdr:sp macro="" textlink="">
          <xdr:nvSpPr>
            <xdr:cNvPr id="21" name="Rectangle 20">
              <a:hlinkClick xmlns:r="http://schemas.openxmlformats.org/officeDocument/2006/relationships" r:id="rId4"/>
              <a:extLst>
                <a:ext uri="{FF2B5EF4-FFF2-40B4-BE49-F238E27FC236}">
                  <a16:creationId xmlns:a16="http://schemas.microsoft.com/office/drawing/2014/main" id="{32D675EF-D66B-69FF-4425-0290F8FA0A19}"/>
                </a:ext>
                <a:ext uri="{147F2762-F138-4A5C-976F-8EAC2B608ADB}">
                  <a16:predDERef xmlns:a16="http://schemas.microsoft.com/office/drawing/2014/main" pred="{4FC661B3-B65D-9069-327A-3CED6E24A9A2}"/>
                </a:ext>
              </a:extLst>
            </xdr:cNvPr>
            <xdr:cNvSpPr/>
          </xdr:nvSpPr>
          <xdr:spPr>
            <a:xfrm>
              <a:off x="508636" y="1712595"/>
              <a:ext cx="1280160" cy="36576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l"/>
              <a:r>
                <a:rPr lang="en-US" sz="1400" b="1" i="0" u="none" strike="noStrike" cap="none" spc="0">
                  <a:ln>
                    <a:noFill/>
                  </a:ln>
                  <a:solidFill>
                    <a:schemeClr val="bg1"/>
                  </a:solidFill>
                  <a:effectLst/>
                  <a:latin typeface="Calibri" panose="020F0502020204030204" pitchFamily="34" charset="0"/>
                  <a:ea typeface="Calibri" panose="020F0502020204030204" pitchFamily="34" charset="0"/>
                  <a:cs typeface="Calibri" panose="020F0502020204030204" pitchFamily="34" charset="0"/>
                </a:rPr>
                <a:t>Dashboard</a:t>
              </a:r>
            </a:p>
          </xdr:txBody>
        </xdr:sp>
        <xdr:sp macro="" textlink="">
          <xdr:nvSpPr>
            <xdr:cNvPr id="22" name="Rectangle 21">
              <a:extLst>
                <a:ext uri="{FF2B5EF4-FFF2-40B4-BE49-F238E27FC236}">
                  <a16:creationId xmlns:a16="http://schemas.microsoft.com/office/drawing/2014/main" id="{C440AE65-3374-03F5-5B74-E0F6A63130EE}"/>
                </a:ext>
                <a:ext uri="{147F2762-F138-4A5C-976F-8EAC2B608ADB}">
                  <a16:predDERef xmlns:a16="http://schemas.microsoft.com/office/drawing/2014/main" pred="{6509E627-4724-4D01-84D5-43BB31EFA888}"/>
                </a:ext>
              </a:extLst>
            </xdr:cNvPr>
            <xdr:cNvSpPr/>
          </xdr:nvSpPr>
          <xdr:spPr>
            <a:xfrm>
              <a:off x="508636" y="2383923"/>
              <a:ext cx="1280160" cy="36576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l"/>
              <a:r>
                <a:rPr lang="en-US" sz="1400" b="1" i="0" u="none" strike="noStrike" cap="none" spc="0">
                  <a:ln>
                    <a:noFill/>
                  </a:ln>
                  <a:solidFill>
                    <a:schemeClr val="bg1"/>
                  </a:solidFill>
                  <a:effectLst/>
                  <a:latin typeface="Calibri" panose="020F0502020204030204" pitchFamily="34" charset="0"/>
                  <a:ea typeface="Calibri" panose="020F0502020204030204" pitchFamily="34" charset="0"/>
                  <a:cs typeface="Calibri" panose="020F0502020204030204" pitchFamily="34" charset="0"/>
                </a:rPr>
                <a:t>Products</a:t>
              </a:r>
            </a:p>
          </xdr:txBody>
        </xdr:sp>
        <xdr:sp macro="" textlink="">
          <xdr:nvSpPr>
            <xdr:cNvPr id="23" name="Rectangle 22">
              <a:hlinkClick xmlns:r="http://schemas.openxmlformats.org/officeDocument/2006/relationships" r:id="rId5"/>
              <a:extLst>
                <a:ext uri="{FF2B5EF4-FFF2-40B4-BE49-F238E27FC236}">
                  <a16:creationId xmlns:a16="http://schemas.microsoft.com/office/drawing/2014/main" id="{DDB5C471-DBF3-F88C-E76C-D428CDBE6F10}"/>
                </a:ext>
                <a:ext uri="{147F2762-F138-4A5C-976F-8EAC2B608ADB}">
                  <a16:predDERef xmlns:a16="http://schemas.microsoft.com/office/drawing/2014/main" pred="{B939FB6C-1C16-4487-9A17-1D721E089D8C}"/>
                </a:ext>
              </a:extLst>
            </xdr:cNvPr>
            <xdr:cNvSpPr/>
          </xdr:nvSpPr>
          <xdr:spPr>
            <a:xfrm>
              <a:off x="508636" y="2048259"/>
              <a:ext cx="1280160" cy="36576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l"/>
              <a:r>
                <a:rPr lang="en-US" sz="1400" b="1" i="0" u="none" strike="noStrike" cap="none" spc="0" baseline="0">
                  <a:ln>
                    <a:noFill/>
                  </a:ln>
                  <a:solidFill>
                    <a:schemeClr val="bg1"/>
                  </a:solidFill>
                  <a:effectLst/>
                  <a:uFill>
                    <a:solidFill>
                      <a:srgbClr val="0070C0"/>
                    </a:solidFill>
                  </a:uFill>
                  <a:latin typeface="Calibri" panose="020F0502020204030204" pitchFamily="34" charset="0"/>
                  <a:ea typeface="Calibri" panose="020F0502020204030204" pitchFamily="34" charset="0"/>
                  <a:cs typeface="Calibri" panose="020F0502020204030204" pitchFamily="34" charset="0"/>
                </a:rPr>
                <a:t>Customer</a:t>
              </a:r>
            </a:p>
          </xdr:txBody>
        </xdr:sp>
        <xdr:sp macro="" textlink="">
          <xdr:nvSpPr>
            <xdr:cNvPr id="24" name="Rectangle 23">
              <a:hlinkClick xmlns:r="http://schemas.openxmlformats.org/officeDocument/2006/relationships" r:id="rId6"/>
              <a:extLst>
                <a:ext uri="{FF2B5EF4-FFF2-40B4-BE49-F238E27FC236}">
                  <a16:creationId xmlns:a16="http://schemas.microsoft.com/office/drawing/2014/main" id="{76B57521-19F9-3001-0C8F-64894916839A}"/>
                </a:ext>
                <a:ext uri="{147F2762-F138-4A5C-976F-8EAC2B608ADB}">
                  <a16:predDERef xmlns:a16="http://schemas.microsoft.com/office/drawing/2014/main" pred="{2B51644E-4193-4C75-9F74-3F9998592107}"/>
                </a:ext>
              </a:extLst>
            </xdr:cNvPr>
            <xdr:cNvSpPr/>
          </xdr:nvSpPr>
          <xdr:spPr>
            <a:xfrm>
              <a:off x="508636" y="4062246"/>
              <a:ext cx="1280160" cy="36576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l"/>
              <a:r>
                <a:rPr lang="en-US" sz="1400" b="1" i="0" u="none" strike="noStrike" cap="none" spc="0">
                  <a:ln>
                    <a:noFill/>
                  </a:ln>
                  <a:solidFill>
                    <a:schemeClr val="bg1"/>
                  </a:solidFill>
                  <a:effectLst/>
                  <a:latin typeface="Calibri" panose="020F0502020204030204" pitchFamily="34" charset="0"/>
                  <a:ea typeface="Calibri" panose="020F0502020204030204" pitchFamily="34" charset="0"/>
                  <a:cs typeface="Calibri" panose="020F0502020204030204" pitchFamily="34" charset="0"/>
                </a:rPr>
                <a:t>Inventory</a:t>
              </a:r>
            </a:p>
          </xdr:txBody>
        </xdr:sp>
        <xdr:sp macro="" textlink="">
          <xdr:nvSpPr>
            <xdr:cNvPr id="25" name="Rectangle 24">
              <a:hlinkClick xmlns:r="http://schemas.openxmlformats.org/officeDocument/2006/relationships" r:id="rId7"/>
              <a:extLst>
                <a:ext uri="{FF2B5EF4-FFF2-40B4-BE49-F238E27FC236}">
                  <a16:creationId xmlns:a16="http://schemas.microsoft.com/office/drawing/2014/main" id="{68619D0F-F99B-EC28-A8B8-8FE95AAA34DC}"/>
                </a:ext>
                <a:ext uri="{147F2762-F138-4A5C-976F-8EAC2B608ADB}">
                  <a16:predDERef xmlns:a16="http://schemas.microsoft.com/office/drawing/2014/main" pred="{DA23F778-6EFE-4C39-B222-9858666608E4}"/>
                </a:ext>
              </a:extLst>
            </xdr:cNvPr>
            <xdr:cNvSpPr/>
          </xdr:nvSpPr>
          <xdr:spPr>
            <a:xfrm>
              <a:off x="508636" y="3726579"/>
              <a:ext cx="1280160" cy="36576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l"/>
              <a:r>
                <a:rPr lang="en-US" sz="1400" b="1" i="0" u="none" strike="noStrike" cap="none" spc="0">
                  <a:ln>
                    <a:noFill/>
                  </a:ln>
                  <a:solidFill>
                    <a:schemeClr val="bg1"/>
                  </a:solidFill>
                  <a:effectLst/>
                  <a:latin typeface="Calibri" panose="020F0502020204030204" pitchFamily="34" charset="0"/>
                  <a:ea typeface="Calibri" panose="020F0502020204030204" pitchFamily="34" charset="0"/>
                  <a:cs typeface="Calibri" panose="020F0502020204030204" pitchFamily="34" charset="0"/>
                </a:rPr>
                <a:t>Sales</a:t>
              </a:r>
            </a:p>
          </xdr:txBody>
        </xdr:sp>
        <xdr:sp macro="" textlink="">
          <xdr:nvSpPr>
            <xdr:cNvPr id="26" name="Rectangle 25">
              <a:hlinkClick xmlns:r="http://schemas.openxmlformats.org/officeDocument/2006/relationships" r:id="rId8"/>
              <a:extLst>
                <a:ext uri="{FF2B5EF4-FFF2-40B4-BE49-F238E27FC236}">
                  <a16:creationId xmlns:a16="http://schemas.microsoft.com/office/drawing/2014/main" id="{2A9DA738-37D6-1DCE-B5BD-7BB326D01A77}"/>
                </a:ext>
                <a:ext uri="{147F2762-F138-4A5C-976F-8EAC2B608ADB}">
                  <a16:predDERef xmlns:a16="http://schemas.microsoft.com/office/drawing/2014/main" pred="{6FFFF218-B18D-41AA-AA29-6979FA38A556}"/>
                </a:ext>
              </a:extLst>
            </xdr:cNvPr>
            <xdr:cNvSpPr/>
          </xdr:nvSpPr>
          <xdr:spPr>
            <a:xfrm>
              <a:off x="508636" y="2719587"/>
              <a:ext cx="1280160" cy="36576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l"/>
              <a:r>
                <a:rPr lang="en-US" sz="1400" b="1" i="0" u="none" strike="noStrike" cap="none" spc="0">
                  <a:ln>
                    <a:noFill/>
                  </a:ln>
                  <a:solidFill>
                    <a:schemeClr val="bg1"/>
                  </a:solidFill>
                  <a:effectLst/>
                  <a:latin typeface="Calibri" panose="020F0502020204030204" pitchFamily="34" charset="0"/>
                  <a:ea typeface="Calibri" panose="020F0502020204030204" pitchFamily="34" charset="0"/>
                  <a:cs typeface="Calibri" panose="020F0502020204030204" pitchFamily="34" charset="0"/>
                </a:rPr>
                <a:t>Vendor</a:t>
              </a:r>
            </a:p>
          </xdr:txBody>
        </xdr:sp>
        <xdr:sp macro="" textlink="">
          <xdr:nvSpPr>
            <xdr:cNvPr id="27" name="Rectangle 26">
              <a:hlinkClick xmlns:r="http://schemas.openxmlformats.org/officeDocument/2006/relationships" r:id="rId9"/>
              <a:extLst>
                <a:ext uri="{FF2B5EF4-FFF2-40B4-BE49-F238E27FC236}">
                  <a16:creationId xmlns:a16="http://schemas.microsoft.com/office/drawing/2014/main" id="{09B40689-B002-74DA-DAEA-C8AF62038C03}"/>
                </a:ext>
                <a:ext uri="{147F2762-F138-4A5C-976F-8EAC2B608ADB}">
                  <a16:predDERef xmlns:a16="http://schemas.microsoft.com/office/drawing/2014/main" pred="{739F558E-A3F0-4E64-A7EB-65EC3C82B736}"/>
                </a:ext>
              </a:extLst>
            </xdr:cNvPr>
            <xdr:cNvSpPr/>
          </xdr:nvSpPr>
          <xdr:spPr>
            <a:xfrm>
              <a:off x="508636" y="3390915"/>
              <a:ext cx="1280160" cy="36576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l"/>
              <a:r>
                <a:rPr lang="en-US" sz="1400" b="1" i="0" u="sng" strike="noStrike" cap="none" spc="0">
                  <a:ln>
                    <a:noFill/>
                  </a:ln>
                  <a:solidFill>
                    <a:schemeClr val="bg1"/>
                  </a:solidFill>
                  <a:effectLst/>
                  <a:latin typeface="Calibri" panose="020F0502020204030204" pitchFamily="34" charset="0"/>
                  <a:ea typeface="Calibri" panose="020F0502020204030204" pitchFamily="34" charset="0"/>
                  <a:cs typeface="Calibri" panose="020F0502020204030204" pitchFamily="34" charset="0"/>
                </a:rPr>
                <a:t>Purchase</a:t>
              </a:r>
            </a:p>
          </xdr:txBody>
        </xdr:sp>
        <xdr:sp macro="" textlink="">
          <xdr:nvSpPr>
            <xdr:cNvPr id="28" name="Rectangle 27">
              <a:hlinkClick xmlns:r="http://schemas.openxmlformats.org/officeDocument/2006/relationships" r:id="rId10"/>
              <a:extLst>
                <a:ext uri="{FF2B5EF4-FFF2-40B4-BE49-F238E27FC236}">
                  <a16:creationId xmlns:a16="http://schemas.microsoft.com/office/drawing/2014/main" id="{5F954136-A24D-164A-A2DE-D3F3B6D0534F}"/>
                </a:ext>
                <a:ext uri="{147F2762-F138-4A5C-976F-8EAC2B608ADB}">
                  <a16:predDERef xmlns:a16="http://schemas.microsoft.com/office/drawing/2014/main" pred="{72F0AEE9-A685-4715-905D-5AA50B2CC832}"/>
                </a:ext>
              </a:extLst>
            </xdr:cNvPr>
            <xdr:cNvSpPr/>
          </xdr:nvSpPr>
          <xdr:spPr>
            <a:xfrm>
              <a:off x="508636" y="3055251"/>
              <a:ext cx="1280160" cy="36576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l"/>
              <a:r>
                <a:rPr lang="en-US" sz="1400" b="1" i="0" u="none" strike="noStrike" cap="none" spc="0">
                  <a:ln>
                    <a:noFill/>
                  </a:ln>
                  <a:solidFill>
                    <a:schemeClr val="bg1"/>
                  </a:solidFill>
                  <a:effectLst/>
                  <a:latin typeface="Calibri" panose="020F0502020204030204" pitchFamily="34" charset="0"/>
                  <a:ea typeface="Calibri" panose="020F0502020204030204" pitchFamily="34" charset="0"/>
                  <a:cs typeface="Calibri" panose="020F0502020204030204" pitchFamily="34" charset="0"/>
                </a:rPr>
                <a:t>New Entry</a:t>
              </a:r>
            </a:p>
          </xdr:txBody>
        </xdr:sp>
      </xdr:grpSp>
    </xdr:grpSp>
    <xdr:clientData/>
  </xdr:twoCellAnchor>
</xdr:wsDr>
</file>

<file path=xl/drawings/drawing6.xml><?xml version="1.0" encoding="utf-8"?>
<xdr:wsDr xmlns:xdr="http://schemas.openxmlformats.org/drawingml/2006/spreadsheetDrawing" xmlns:a="http://schemas.openxmlformats.org/drawingml/2006/main">
  <xdr:twoCellAnchor editAs="absolute">
    <xdr:from>
      <xdr:col>3</xdr:col>
      <xdr:colOff>0</xdr:colOff>
      <xdr:row>1</xdr:row>
      <xdr:rowOff>0</xdr:rowOff>
    </xdr:from>
    <xdr:to>
      <xdr:col>20</xdr:col>
      <xdr:colOff>15240</xdr:colOff>
      <xdr:row>2</xdr:row>
      <xdr:rowOff>0</xdr:rowOff>
    </xdr:to>
    <xdr:sp macro="" textlink="">
      <xdr:nvSpPr>
        <xdr:cNvPr id="15" name="Rectangle 14">
          <a:extLst>
            <a:ext uri="{FF2B5EF4-FFF2-40B4-BE49-F238E27FC236}">
              <a16:creationId xmlns:a16="http://schemas.microsoft.com/office/drawing/2014/main" id="{B761D4CB-197E-4958-B1D7-4FBA390C2D70}"/>
            </a:ext>
          </a:extLst>
        </xdr:cNvPr>
        <xdr:cNvSpPr/>
      </xdr:nvSpPr>
      <xdr:spPr>
        <a:xfrm>
          <a:off x="2392680" y="129540"/>
          <a:ext cx="11551920" cy="487680"/>
        </a:xfrm>
        <a:prstGeom prst="rect">
          <a:avLst/>
        </a:prstGeom>
        <a:solidFill>
          <a:srgbClr val="FFC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000" b="1">
              <a:solidFill>
                <a:schemeClr val="tx1"/>
              </a:solidFill>
            </a:rPr>
            <a:t>New Entry</a:t>
          </a:r>
        </a:p>
      </xdr:txBody>
    </xdr:sp>
    <xdr:clientData/>
  </xdr:twoCellAnchor>
  <xdr:twoCellAnchor>
    <xdr:from>
      <xdr:col>1</xdr:col>
      <xdr:colOff>152400</xdr:colOff>
      <xdr:row>1</xdr:row>
      <xdr:rowOff>152400</xdr:rowOff>
    </xdr:from>
    <xdr:to>
      <xdr:col>2</xdr:col>
      <xdr:colOff>112395</xdr:colOff>
      <xdr:row>27</xdr:row>
      <xdr:rowOff>80772</xdr:rowOff>
    </xdr:to>
    <xdr:grpSp>
      <xdr:nvGrpSpPr>
        <xdr:cNvPr id="16" name="Group 15">
          <a:hlinkClick xmlns:r="http://schemas.openxmlformats.org/officeDocument/2006/relationships" r:id="rId1"/>
          <a:extLst>
            <a:ext uri="{FF2B5EF4-FFF2-40B4-BE49-F238E27FC236}">
              <a16:creationId xmlns:a16="http://schemas.microsoft.com/office/drawing/2014/main" id="{A10DAAD3-FFD0-4A57-96A0-447F7CFF068C}"/>
            </a:ext>
          </a:extLst>
        </xdr:cNvPr>
        <xdr:cNvGrpSpPr/>
      </xdr:nvGrpSpPr>
      <xdr:grpSpPr>
        <a:xfrm>
          <a:off x="487680" y="281940"/>
          <a:ext cx="1674495" cy="5323332"/>
          <a:chOff x="375285" y="629412"/>
          <a:chExt cx="1674495" cy="4236720"/>
        </a:xfrm>
        <a:solidFill>
          <a:srgbClr val="002060"/>
        </a:solidFill>
      </xdr:grpSpPr>
      <xdr:sp macro="" textlink="">
        <xdr:nvSpPr>
          <xdr:cNvPr id="17" name="Rectangle 16">
            <a:hlinkClick xmlns:r="http://schemas.openxmlformats.org/officeDocument/2006/relationships" r:id="rId2"/>
            <a:extLst>
              <a:ext uri="{FF2B5EF4-FFF2-40B4-BE49-F238E27FC236}">
                <a16:creationId xmlns:a16="http://schemas.microsoft.com/office/drawing/2014/main" id="{0134587B-AAC0-A509-9F1A-2796C11E93FE}"/>
              </a:ext>
            </a:extLst>
          </xdr:cNvPr>
          <xdr:cNvSpPr/>
        </xdr:nvSpPr>
        <xdr:spPr>
          <a:xfrm>
            <a:off x="375285" y="629412"/>
            <a:ext cx="1674495" cy="4236720"/>
          </a:xfrm>
          <a:prstGeom prst="rect">
            <a:avLst/>
          </a:prstGeom>
          <a:grpFill/>
        </xdr:spPr>
        <xdr:style>
          <a:lnRef idx="2">
            <a:schemeClr val="accent3"/>
          </a:lnRef>
          <a:fillRef idx="1">
            <a:schemeClr val="lt1"/>
          </a:fillRef>
          <a:effectRef idx="0">
            <a:schemeClr val="accent3"/>
          </a:effectRef>
          <a:fontRef idx="minor">
            <a:schemeClr val="dk1"/>
          </a:fontRef>
        </xdr:style>
        <xdr:txBody>
          <a:bodyPr spcFirstLastPara="0" vertOverflow="clip" horzOverflow="clip" wrap="square" lIns="91440" tIns="45720" rIns="91440" bIns="45720" rtlCol="0" anchor="ctr">
            <a:noAutofit/>
          </a:bodyPr>
          <a:lstStyle/>
          <a:p>
            <a:pPr marL="0" indent="0" algn="ctr"/>
            <a:endParaRPr lang="en-US" sz="1100">
              <a:solidFill>
                <a:schemeClr val="bg1"/>
              </a:solidFill>
              <a:latin typeface="+mn-lt"/>
              <a:ea typeface="+mn-lt"/>
              <a:cs typeface="+mn-lt"/>
            </a:endParaRPr>
          </a:p>
        </xdr:txBody>
      </xdr:sp>
      <xdr:pic>
        <xdr:nvPicPr>
          <xdr:cNvPr id="18" name="Picture 17">
            <a:extLst>
              <a:ext uri="{FF2B5EF4-FFF2-40B4-BE49-F238E27FC236}">
                <a16:creationId xmlns:a16="http://schemas.microsoft.com/office/drawing/2014/main" id="{4F770854-C3A3-F63B-0D18-E16F494BFCC0}"/>
              </a:ext>
              <a:ext uri="{147F2762-F138-4A5C-976F-8EAC2B608ADB}">
                <a16:predDERef xmlns:a16="http://schemas.microsoft.com/office/drawing/2014/main" pred="{F69C5330-EDCD-610B-0561-254E73F21250}"/>
              </a:ext>
            </a:extLst>
          </xdr:cNvPr>
          <xdr:cNvPicPr>
            <a:picLocks noChangeAspect="1"/>
          </xdr:cNvPicPr>
        </xdr:nvPicPr>
        <xdr:blipFill>
          <a:blip xmlns:r="http://schemas.openxmlformats.org/officeDocument/2006/relationships" r:embed="rId3"/>
          <a:stretch>
            <a:fillRect/>
          </a:stretch>
        </xdr:blipFill>
        <xdr:spPr>
          <a:xfrm>
            <a:off x="779145" y="790575"/>
            <a:ext cx="619125" cy="558165"/>
          </a:xfrm>
          <a:prstGeom prst="rect">
            <a:avLst/>
          </a:prstGeom>
          <a:grpFill/>
        </xdr:spPr>
      </xdr:pic>
      <xdr:sp macro="" textlink="">
        <xdr:nvSpPr>
          <xdr:cNvPr id="19" name="Rectangle 18">
            <a:extLst>
              <a:ext uri="{FF2B5EF4-FFF2-40B4-BE49-F238E27FC236}">
                <a16:creationId xmlns:a16="http://schemas.microsoft.com/office/drawing/2014/main" id="{C0B1C895-1011-8DAE-5F6F-8E922FCF31C3}"/>
              </a:ext>
              <a:ext uri="{147F2762-F138-4A5C-976F-8EAC2B608ADB}">
                <a16:predDERef xmlns:a16="http://schemas.microsoft.com/office/drawing/2014/main" pred="{8AB7CAF2-EA14-FF48-A653-C70706D078DB}"/>
              </a:ext>
            </a:extLst>
          </xdr:cNvPr>
          <xdr:cNvSpPr/>
        </xdr:nvSpPr>
        <xdr:spPr>
          <a:xfrm>
            <a:off x="381000" y="1348740"/>
            <a:ext cx="1630680" cy="54864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spcFirstLastPara="0" vertOverflow="clip" horzOverflow="clip" wrap="square" lIns="91440" tIns="45720" rIns="91440" bIns="45720" rtlCol="0" anchor="ctr">
            <a:noAutofit/>
          </a:bodyPr>
          <a:lstStyle/>
          <a:p>
            <a:pPr marL="0" indent="0" algn="ctr"/>
            <a:r>
              <a:rPr lang="en-US" sz="1200" b="1" i="0" u="none" strike="noStrike">
                <a:solidFill>
                  <a:schemeClr val="bg1"/>
                </a:solidFill>
                <a:latin typeface="Calibri" panose="020F0502020204030204" pitchFamily="34" charset="0"/>
                <a:ea typeface="Calibri" panose="020F0502020204030204" pitchFamily="34" charset="0"/>
                <a:cs typeface="Calibri" panose="020F0502020204030204" pitchFamily="34" charset="0"/>
              </a:rPr>
              <a:t>Inventory</a:t>
            </a:r>
            <a:r>
              <a:rPr lang="en-US" sz="1200" b="1" i="0" u="none" strike="noStrike" baseline="0">
                <a:solidFill>
                  <a:schemeClr val="bg1"/>
                </a:solidFill>
                <a:latin typeface="Calibri" panose="020F0502020204030204" pitchFamily="34" charset="0"/>
                <a:ea typeface="Calibri" panose="020F0502020204030204" pitchFamily="34" charset="0"/>
                <a:cs typeface="Calibri" panose="020F0502020204030204" pitchFamily="34" charset="0"/>
              </a:rPr>
              <a:t> </a:t>
            </a:r>
            <a:r>
              <a:rPr lang="en-US" sz="1200" b="1" i="0" u="none" strike="noStrike">
                <a:solidFill>
                  <a:schemeClr val="bg1"/>
                </a:solidFill>
                <a:latin typeface="Calibri" panose="020F0502020204030204" pitchFamily="34" charset="0"/>
                <a:ea typeface="Calibri" panose="020F0502020204030204" pitchFamily="34" charset="0"/>
                <a:cs typeface="Calibri" panose="020F0502020204030204" pitchFamily="34" charset="0"/>
              </a:rPr>
              <a:t>Management System</a:t>
            </a:r>
          </a:p>
        </xdr:txBody>
      </xdr:sp>
      <xdr:grpSp>
        <xdr:nvGrpSpPr>
          <xdr:cNvPr id="20" name="Group 19">
            <a:extLst>
              <a:ext uri="{FF2B5EF4-FFF2-40B4-BE49-F238E27FC236}">
                <a16:creationId xmlns:a16="http://schemas.microsoft.com/office/drawing/2014/main" id="{A06C4573-2CCF-FDF5-7188-4915F3FBD48D}"/>
              </a:ext>
            </a:extLst>
          </xdr:cNvPr>
          <xdr:cNvGrpSpPr/>
        </xdr:nvGrpSpPr>
        <xdr:grpSpPr>
          <a:xfrm>
            <a:off x="438152" y="1805941"/>
            <a:ext cx="1541144" cy="2873526"/>
            <a:chOff x="508636" y="1712595"/>
            <a:chExt cx="1280160" cy="2715411"/>
          </a:xfrm>
          <a:grpFill/>
        </xdr:grpSpPr>
        <xdr:sp macro="" textlink="">
          <xdr:nvSpPr>
            <xdr:cNvPr id="21" name="Rectangle 20">
              <a:hlinkClick xmlns:r="http://schemas.openxmlformats.org/officeDocument/2006/relationships" r:id="rId4"/>
              <a:extLst>
                <a:ext uri="{FF2B5EF4-FFF2-40B4-BE49-F238E27FC236}">
                  <a16:creationId xmlns:a16="http://schemas.microsoft.com/office/drawing/2014/main" id="{AC0AC528-F239-2F76-8EDB-68D513C5BA53}"/>
                </a:ext>
                <a:ext uri="{147F2762-F138-4A5C-976F-8EAC2B608ADB}">
                  <a16:predDERef xmlns:a16="http://schemas.microsoft.com/office/drawing/2014/main" pred="{4FC661B3-B65D-9069-327A-3CED6E24A9A2}"/>
                </a:ext>
              </a:extLst>
            </xdr:cNvPr>
            <xdr:cNvSpPr/>
          </xdr:nvSpPr>
          <xdr:spPr>
            <a:xfrm>
              <a:off x="508636" y="1712595"/>
              <a:ext cx="1280160" cy="36576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l"/>
              <a:r>
                <a:rPr lang="en-US" sz="1400" b="1" i="0" u="none" strike="noStrike" cap="none" spc="0">
                  <a:ln>
                    <a:noFill/>
                  </a:ln>
                  <a:solidFill>
                    <a:schemeClr val="bg1"/>
                  </a:solidFill>
                  <a:effectLst/>
                  <a:latin typeface="Calibri" panose="020F0502020204030204" pitchFamily="34" charset="0"/>
                  <a:ea typeface="Calibri" panose="020F0502020204030204" pitchFamily="34" charset="0"/>
                  <a:cs typeface="Calibri" panose="020F0502020204030204" pitchFamily="34" charset="0"/>
                </a:rPr>
                <a:t>Dashboard</a:t>
              </a:r>
            </a:p>
          </xdr:txBody>
        </xdr:sp>
        <xdr:sp macro="" textlink="">
          <xdr:nvSpPr>
            <xdr:cNvPr id="22" name="Rectangle 21">
              <a:extLst>
                <a:ext uri="{FF2B5EF4-FFF2-40B4-BE49-F238E27FC236}">
                  <a16:creationId xmlns:a16="http://schemas.microsoft.com/office/drawing/2014/main" id="{5FCCC667-20CC-FD0B-981B-562987FD2509}"/>
                </a:ext>
                <a:ext uri="{147F2762-F138-4A5C-976F-8EAC2B608ADB}">
                  <a16:predDERef xmlns:a16="http://schemas.microsoft.com/office/drawing/2014/main" pred="{6509E627-4724-4D01-84D5-43BB31EFA888}"/>
                </a:ext>
              </a:extLst>
            </xdr:cNvPr>
            <xdr:cNvSpPr/>
          </xdr:nvSpPr>
          <xdr:spPr>
            <a:xfrm>
              <a:off x="508636" y="2383923"/>
              <a:ext cx="1280160" cy="36576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l"/>
              <a:r>
                <a:rPr lang="en-US" sz="1400" b="1" i="0" u="none" strike="noStrike" cap="none" spc="0">
                  <a:ln>
                    <a:noFill/>
                  </a:ln>
                  <a:solidFill>
                    <a:schemeClr val="bg1"/>
                  </a:solidFill>
                  <a:effectLst/>
                  <a:latin typeface="Calibri" panose="020F0502020204030204" pitchFamily="34" charset="0"/>
                  <a:ea typeface="Calibri" panose="020F0502020204030204" pitchFamily="34" charset="0"/>
                  <a:cs typeface="Calibri" panose="020F0502020204030204" pitchFamily="34" charset="0"/>
                </a:rPr>
                <a:t>Products</a:t>
              </a:r>
            </a:p>
          </xdr:txBody>
        </xdr:sp>
        <xdr:sp macro="" textlink="">
          <xdr:nvSpPr>
            <xdr:cNvPr id="23" name="Rectangle 22">
              <a:hlinkClick xmlns:r="http://schemas.openxmlformats.org/officeDocument/2006/relationships" r:id="rId5"/>
              <a:extLst>
                <a:ext uri="{FF2B5EF4-FFF2-40B4-BE49-F238E27FC236}">
                  <a16:creationId xmlns:a16="http://schemas.microsoft.com/office/drawing/2014/main" id="{99C6435D-7D0B-39D6-4BE6-E6873FFFE074}"/>
                </a:ext>
                <a:ext uri="{147F2762-F138-4A5C-976F-8EAC2B608ADB}">
                  <a16:predDERef xmlns:a16="http://schemas.microsoft.com/office/drawing/2014/main" pred="{B939FB6C-1C16-4487-9A17-1D721E089D8C}"/>
                </a:ext>
              </a:extLst>
            </xdr:cNvPr>
            <xdr:cNvSpPr/>
          </xdr:nvSpPr>
          <xdr:spPr>
            <a:xfrm>
              <a:off x="508636" y="2048259"/>
              <a:ext cx="1280160" cy="36576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l"/>
              <a:r>
                <a:rPr lang="en-US" sz="1400" b="1" i="0" u="none" strike="noStrike" cap="none" spc="0" baseline="0">
                  <a:ln>
                    <a:noFill/>
                  </a:ln>
                  <a:solidFill>
                    <a:schemeClr val="bg1"/>
                  </a:solidFill>
                  <a:effectLst/>
                  <a:uFill>
                    <a:solidFill>
                      <a:srgbClr val="0070C0"/>
                    </a:solidFill>
                  </a:uFill>
                  <a:latin typeface="Calibri" panose="020F0502020204030204" pitchFamily="34" charset="0"/>
                  <a:ea typeface="Calibri" panose="020F0502020204030204" pitchFamily="34" charset="0"/>
                  <a:cs typeface="Calibri" panose="020F0502020204030204" pitchFamily="34" charset="0"/>
                </a:rPr>
                <a:t>Customer</a:t>
              </a:r>
            </a:p>
          </xdr:txBody>
        </xdr:sp>
        <xdr:sp macro="" textlink="">
          <xdr:nvSpPr>
            <xdr:cNvPr id="24" name="Rectangle 23">
              <a:hlinkClick xmlns:r="http://schemas.openxmlformats.org/officeDocument/2006/relationships" r:id="rId6"/>
              <a:extLst>
                <a:ext uri="{FF2B5EF4-FFF2-40B4-BE49-F238E27FC236}">
                  <a16:creationId xmlns:a16="http://schemas.microsoft.com/office/drawing/2014/main" id="{0DEB5755-7A1E-048C-ECC5-ADEC512AE501}"/>
                </a:ext>
                <a:ext uri="{147F2762-F138-4A5C-976F-8EAC2B608ADB}">
                  <a16:predDERef xmlns:a16="http://schemas.microsoft.com/office/drawing/2014/main" pred="{2B51644E-4193-4C75-9F74-3F9998592107}"/>
                </a:ext>
              </a:extLst>
            </xdr:cNvPr>
            <xdr:cNvSpPr/>
          </xdr:nvSpPr>
          <xdr:spPr>
            <a:xfrm>
              <a:off x="508636" y="4062246"/>
              <a:ext cx="1280160" cy="36576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l"/>
              <a:r>
                <a:rPr lang="en-US" sz="1400" b="1" i="0" u="none" strike="noStrike" cap="none" spc="0">
                  <a:ln>
                    <a:noFill/>
                  </a:ln>
                  <a:solidFill>
                    <a:schemeClr val="bg1"/>
                  </a:solidFill>
                  <a:effectLst/>
                  <a:latin typeface="Calibri" panose="020F0502020204030204" pitchFamily="34" charset="0"/>
                  <a:ea typeface="Calibri" panose="020F0502020204030204" pitchFamily="34" charset="0"/>
                  <a:cs typeface="Calibri" panose="020F0502020204030204" pitchFamily="34" charset="0"/>
                </a:rPr>
                <a:t>Inventory</a:t>
              </a:r>
            </a:p>
          </xdr:txBody>
        </xdr:sp>
        <xdr:sp macro="" textlink="">
          <xdr:nvSpPr>
            <xdr:cNvPr id="25" name="Rectangle 24">
              <a:hlinkClick xmlns:r="http://schemas.openxmlformats.org/officeDocument/2006/relationships" r:id="rId7"/>
              <a:extLst>
                <a:ext uri="{FF2B5EF4-FFF2-40B4-BE49-F238E27FC236}">
                  <a16:creationId xmlns:a16="http://schemas.microsoft.com/office/drawing/2014/main" id="{55EDCE4E-7762-9FEA-3092-224FB9D46181}"/>
                </a:ext>
                <a:ext uri="{147F2762-F138-4A5C-976F-8EAC2B608ADB}">
                  <a16:predDERef xmlns:a16="http://schemas.microsoft.com/office/drawing/2014/main" pred="{DA23F778-6EFE-4C39-B222-9858666608E4}"/>
                </a:ext>
              </a:extLst>
            </xdr:cNvPr>
            <xdr:cNvSpPr/>
          </xdr:nvSpPr>
          <xdr:spPr>
            <a:xfrm>
              <a:off x="508636" y="3726579"/>
              <a:ext cx="1280160" cy="36576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l"/>
              <a:r>
                <a:rPr lang="en-US" sz="1400" b="1" i="0" u="none" strike="noStrike" cap="none" spc="0">
                  <a:ln>
                    <a:noFill/>
                  </a:ln>
                  <a:solidFill>
                    <a:schemeClr val="bg1"/>
                  </a:solidFill>
                  <a:effectLst/>
                  <a:latin typeface="Calibri" panose="020F0502020204030204" pitchFamily="34" charset="0"/>
                  <a:ea typeface="Calibri" panose="020F0502020204030204" pitchFamily="34" charset="0"/>
                  <a:cs typeface="Calibri" panose="020F0502020204030204" pitchFamily="34" charset="0"/>
                </a:rPr>
                <a:t>Sales</a:t>
              </a:r>
            </a:p>
          </xdr:txBody>
        </xdr:sp>
        <xdr:sp macro="" textlink="">
          <xdr:nvSpPr>
            <xdr:cNvPr id="26" name="Rectangle 25">
              <a:hlinkClick xmlns:r="http://schemas.openxmlformats.org/officeDocument/2006/relationships" r:id="rId8"/>
              <a:extLst>
                <a:ext uri="{FF2B5EF4-FFF2-40B4-BE49-F238E27FC236}">
                  <a16:creationId xmlns:a16="http://schemas.microsoft.com/office/drawing/2014/main" id="{863AA2FD-A1A3-8CFC-6200-8BF8AAECFB6E}"/>
                </a:ext>
                <a:ext uri="{147F2762-F138-4A5C-976F-8EAC2B608ADB}">
                  <a16:predDERef xmlns:a16="http://schemas.microsoft.com/office/drawing/2014/main" pred="{6FFFF218-B18D-41AA-AA29-6979FA38A556}"/>
                </a:ext>
              </a:extLst>
            </xdr:cNvPr>
            <xdr:cNvSpPr/>
          </xdr:nvSpPr>
          <xdr:spPr>
            <a:xfrm>
              <a:off x="508636" y="2719587"/>
              <a:ext cx="1280160" cy="36576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l"/>
              <a:r>
                <a:rPr lang="en-US" sz="1400" b="1" i="0" u="none" strike="noStrike" cap="none" spc="0">
                  <a:ln>
                    <a:noFill/>
                  </a:ln>
                  <a:solidFill>
                    <a:schemeClr val="bg1"/>
                  </a:solidFill>
                  <a:effectLst/>
                  <a:latin typeface="Calibri" panose="020F0502020204030204" pitchFamily="34" charset="0"/>
                  <a:ea typeface="Calibri" panose="020F0502020204030204" pitchFamily="34" charset="0"/>
                  <a:cs typeface="Calibri" panose="020F0502020204030204" pitchFamily="34" charset="0"/>
                </a:rPr>
                <a:t>Vendor</a:t>
              </a:r>
            </a:p>
          </xdr:txBody>
        </xdr:sp>
        <xdr:sp macro="" textlink="">
          <xdr:nvSpPr>
            <xdr:cNvPr id="27" name="Rectangle 26">
              <a:hlinkClick xmlns:r="http://schemas.openxmlformats.org/officeDocument/2006/relationships" r:id="rId9"/>
              <a:extLst>
                <a:ext uri="{FF2B5EF4-FFF2-40B4-BE49-F238E27FC236}">
                  <a16:creationId xmlns:a16="http://schemas.microsoft.com/office/drawing/2014/main" id="{103D780F-FBA0-F806-AB84-91DC8D1D61B0}"/>
                </a:ext>
                <a:ext uri="{147F2762-F138-4A5C-976F-8EAC2B608ADB}">
                  <a16:predDERef xmlns:a16="http://schemas.microsoft.com/office/drawing/2014/main" pred="{739F558E-A3F0-4E64-A7EB-65EC3C82B736}"/>
                </a:ext>
              </a:extLst>
            </xdr:cNvPr>
            <xdr:cNvSpPr/>
          </xdr:nvSpPr>
          <xdr:spPr>
            <a:xfrm>
              <a:off x="508636" y="3390915"/>
              <a:ext cx="1280160" cy="36576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l"/>
              <a:r>
                <a:rPr lang="en-US" sz="1400" b="1" i="0" u="none" strike="noStrike" cap="none" spc="0">
                  <a:ln>
                    <a:noFill/>
                  </a:ln>
                  <a:solidFill>
                    <a:schemeClr val="bg1"/>
                  </a:solidFill>
                  <a:effectLst/>
                  <a:latin typeface="Calibri" panose="020F0502020204030204" pitchFamily="34" charset="0"/>
                  <a:ea typeface="Calibri" panose="020F0502020204030204" pitchFamily="34" charset="0"/>
                  <a:cs typeface="Calibri" panose="020F0502020204030204" pitchFamily="34" charset="0"/>
                </a:rPr>
                <a:t>Purchase</a:t>
              </a:r>
            </a:p>
          </xdr:txBody>
        </xdr:sp>
        <xdr:sp macro="" textlink="">
          <xdr:nvSpPr>
            <xdr:cNvPr id="28" name="Rectangle 27">
              <a:hlinkClick xmlns:r="http://schemas.openxmlformats.org/officeDocument/2006/relationships" r:id="rId10"/>
              <a:extLst>
                <a:ext uri="{FF2B5EF4-FFF2-40B4-BE49-F238E27FC236}">
                  <a16:creationId xmlns:a16="http://schemas.microsoft.com/office/drawing/2014/main" id="{02EE62E0-2426-A733-FF44-CD6DBAE6BFD6}"/>
                </a:ext>
                <a:ext uri="{147F2762-F138-4A5C-976F-8EAC2B608ADB}">
                  <a16:predDERef xmlns:a16="http://schemas.microsoft.com/office/drawing/2014/main" pred="{72F0AEE9-A685-4715-905D-5AA50B2CC832}"/>
                </a:ext>
              </a:extLst>
            </xdr:cNvPr>
            <xdr:cNvSpPr/>
          </xdr:nvSpPr>
          <xdr:spPr>
            <a:xfrm>
              <a:off x="508636" y="3055251"/>
              <a:ext cx="1280160" cy="36576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l"/>
              <a:r>
                <a:rPr lang="en-US" sz="1400" b="1" i="0" u="sng" strike="noStrike" cap="none" spc="0">
                  <a:ln>
                    <a:noFill/>
                  </a:ln>
                  <a:solidFill>
                    <a:schemeClr val="bg1"/>
                  </a:solidFill>
                  <a:effectLst/>
                  <a:latin typeface="Calibri" panose="020F0502020204030204" pitchFamily="34" charset="0"/>
                  <a:ea typeface="Calibri" panose="020F0502020204030204" pitchFamily="34" charset="0"/>
                  <a:cs typeface="Calibri" panose="020F0502020204030204" pitchFamily="34" charset="0"/>
                </a:rPr>
                <a:t>New Entry</a:t>
              </a:r>
            </a:p>
          </xdr:txBody>
        </xdr:sp>
      </xdr:grpSp>
    </xdr:grpSp>
    <xdr:clientData/>
  </xdr:twoCellAnchor>
</xdr:wsDr>
</file>

<file path=xl/drawings/drawing7.xml><?xml version="1.0" encoding="utf-8"?>
<xdr:wsDr xmlns:xdr="http://schemas.openxmlformats.org/drawingml/2006/spreadsheetDrawing" xmlns:a="http://schemas.openxmlformats.org/drawingml/2006/main">
  <xdr:twoCellAnchor editAs="absolute">
    <xdr:from>
      <xdr:col>3</xdr:col>
      <xdr:colOff>7620</xdr:colOff>
      <xdr:row>1</xdr:row>
      <xdr:rowOff>7620</xdr:rowOff>
    </xdr:from>
    <xdr:to>
      <xdr:col>10</xdr:col>
      <xdr:colOff>3550920</xdr:colOff>
      <xdr:row>2</xdr:row>
      <xdr:rowOff>7620</xdr:rowOff>
    </xdr:to>
    <xdr:sp macro="" textlink="">
      <xdr:nvSpPr>
        <xdr:cNvPr id="15" name="Rectangle 14">
          <a:extLst>
            <a:ext uri="{FF2B5EF4-FFF2-40B4-BE49-F238E27FC236}">
              <a16:creationId xmlns:a16="http://schemas.microsoft.com/office/drawing/2014/main" id="{8E9CBB36-54CB-46B1-A59B-F3691F35843F}"/>
            </a:ext>
          </a:extLst>
        </xdr:cNvPr>
        <xdr:cNvSpPr/>
      </xdr:nvSpPr>
      <xdr:spPr>
        <a:xfrm>
          <a:off x="2324100" y="137160"/>
          <a:ext cx="11468100" cy="487680"/>
        </a:xfrm>
        <a:prstGeom prst="rect">
          <a:avLst/>
        </a:prstGeom>
        <a:solidFill>
          <a:srgbClr val="FFC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000" b="1">
              <a:solidFill>
                <a:schemeClr val="tx1"/>
              </a:solidFill>
            </a:rPr>
            <a:t>Inventory Management</a:t>
          </a:r>
        </a:p>
      </xdr:txBody>
    </xdr:sp>
    <xdr:clientData/>
  </xdr:twoCellAnchor>
  <xdr:twoCellAnchor>
    <xdr:from>
      <xdr:col>1</xdr:col>
      <xdr:colOff>15240</xdr:colOff>
      <xdr:row>1</xdr:row>
      <xdr:rowOff>7620</xdr:rowOff>
    </xdr:from>
    <xdr:to>
      <xdr:col>1</xdr:col>
      <xdr:colOff>1689735</xdr:colOff>
      <xdr:row>20</xdr:row>
      <xdr:rowOff>12192</xdr:rowOff>
    </xdr:to>
    <xdr:grpSp>
      <xdr:nvGrpSpPr>
        <xdr:cNvPr id="16" name="Group 15">
          <a:hlinkClick xmlns:r="http://schemas.openxmlformats.org/officeDocument/2006/relationships" r:id="rId1"/>
          <a:extLst>
            <a:ext uri="{FF2B5EF4-FFF2-40B4-BE49-F238E27FC236}">
              <a16:creationId xmlns:a16="http://schemas.microsoft.com/office/drawing/2014/main" id="{152F8585-F879-4C4F-A979-ADBADFE8A10D}"/>
            </a:ext>
          </a:extLst>
        </xdr:cNvPr>
        <xdr:cNvGrpSpPr/>
      </xdr:nvGrpSpPr>
      <xdr:grpSpPr>
        <a:xfrm>
          <a:off x="350520" y="137160"/>
          <a:ext cx="1674495" cy="5209032"/>
          <a:chOff x="375285" y="629412"/>
          <a:chExt cx="1674495" cy="4236720"/>
        </a:xfrm>
        <a:solidFill>
          <a:srgbClr val="002060"/>
        </a:solidFill>
      </xdr:grpSpPr>
      <xdr:sp macro="" textlink="">
        <xdr:nvSpPr>
          <xdr:cNvPr id="17" name="Rectangle 16">
            <a:hlinkClick xmlns:r="http://schemas.openxmlformats.org/officeDocument/2006/relationships" r:id="rId2"/>
            <a:extLst>
              <a:ext uri="{FF2B5EF4-FFF2-40B4-BE49-F238E27FC236}">
                <a16:creationId xmlns:a16="http://schemas.microsoft.com/office/drawing/2014/main" id="{8AB155FD-1115-F908-A9C1-10B37840DD48}"/>
              </a:ext>
            </a:extLst>
          </xdr:cNvPr>
          <xdr:cNvSpPr/>
        </xdr:nvSpPr>
        <xdr:spPr>
          <a:xfrm>
            <a:off x="375285" y="629412"/>
            <a:ext cx="1674495" cy="4236720"/>
          </a:xfrm>
          <a:prstGeom prst="rect">
            <a:avLst/>
          </a:prstGeom>
          <a:grpFill/>
        </xdr:spPr>
        <xdr:style>
          <a:lnRef idx="2">
            <a:schemeClr val="accent3"/>
          </a:lnRef>
          <a:fillRef idx="1">
            <a:schemeClr val="lt1"/>
          </a:fillRef>
          <a:effectRef idx="0">
            <a:schemeClr val="accent3"/>
          </a:effectRef>
          <a:fontRef idx="minor">
            <a:schemeClr val="dk1"/>
          </a:fontRef>
        </xdr:style>
        <xdr:txBody>
          <a:bodyPr spcFirstLastPara="0" vertOverflow="clip" horzOverflow="clip" wrap="square" lIns="91440" tIns="45720" rIns="91440" bIns="45720" rtlCol="0" anchor="ctr">
            <a:noAutofit/>
          </a:bodyPr>
          <a:lstStyle/>
          <a:p>
            <a:pPr marL="0" indent="0" algn="ctr"/>
            <a:endParaRPr lang="en-US" sz="1100">
              <a:solidFill>
                <a:schemeClr val="bg1"/>
              </a:solidFill>
              <a:latin typeface="+mn-lt"/>
              <a:ea typeface="+mn-lt"/>
              <a:cs typeface="+mn-lt"/>
            </a:endParaRPr>
          </a:p>
        </xdr:txBody>
      </xdr:sp>
      <xdr:pic>
        <xdr:nvPicPr>
          <xdr:cNvPr id="18" name="Picture 17">
            <a:extLst>
              <a:ext uri="{FF2B5EF4-FFF2-40B4-BE49-F238E27FC236}">
                <a16:creationId xmlns:a16="http://schemas.microsoft.com/office/drawing/2014/main" id="{F1FEA629-A531-4729-11F8-DA072DF96E00}"/>
              </a:ext>
              <a:ext uri="{147F2762-F138-4A5C-976F-8EAC2B608ADB}">
                <a16:predDERef xmlns:a16="http://schemas.microsoft.com/office/drawing/2014/main" pred="{F69C5330-EDCD-610B-0561-254E73F21250}"/>
              </a:ext>
            </a:extLst>
          </xdr:cNvPr>
          <xdr:cNvPicPr>
            <a:picLocks noChangeAspect="1"/>
          </xdr:cNvPicPr>
        </xdr:nvPicPr>
        <xdr:blipFill>
          <a:blip xmlns:r="http://schemas.openxmlformats.org/officeDocument/2006/relationships" r:embed="rId3"/>
          <a:stretch>
            <a:fillRect/>
          </a:stretch>
        </xdr:blipFill>
        <xdr:spPr>
          <a:xfrm>
            <a:off x="779145" y="790575"/>
            <a:ext cx="619125" cy="558165"/>
          </a:xfrm>
          <a:prstGeom prst="rect">
            <a:avLst/>
          </a:prstGeom>
          <a:grpFill/>
        </xdr:spPr>
      </xdr:pic>
      <xdr:sp macro="" textlink="">
        <xdr:nvSpPr>
          <xdr:cNvPr id="19" name="Rectangle 18">
            <a:extLst>
              <a:ext uri="{FF2B5EF4-FFF2-40B4-BE49-F238E27FC236}">
                <a16:creationId xmlns:a16="http://schemas.microsoft.com/office/drawing/2014/main" id="{C0BD5E1F-2455-2E52-7402-02CA59C40616}"/>
              </a:ext>
              <a:ext uri="{147F2762-F138-4A5C-976F-8EAC2B608ADB}">
                <a16:predDERef xmlns:a16="http://schemas.microsoft.com/office/drawing/2014/main" pred="{8AB7CAF2-EA14-FF48-A653-C70706D078DB}"/>
              </a:ext>
            </a:extLst>
          </xdr:cNvPr>
          <xdr:cNvSpPr/>
        </xdr:nvSpPr>
        <xdr:spPr>
          <a:xfrm>
            <a:off x="381000" y="1348740"/>
            <a:ext cx="1630680" cy="54864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spcFirstLastPara="0" vertOverflow="clip" horzOverflow="clip" wrap="square" lIns="91440" tIns="45720" rIns="91440" bIns="45720" rtlCol="0" anchor="ctr">
            <a:noAutofit/>
          </a:bodyPr>
          <a:lstStyle/>
          <a:p>
            <a:pPr marL="0" indent="0" algn="ctr"/>
            <a:r>
              <a:rPr lang="en-US" sz="1200" b="1" i="0" u="none" strike="noStrike">
                <a:solidFill>
                  <a:schemeClr val="bg1"/>
                </a:solidFill>
                <a:latin typeface="Calibri" panose="020F0502020204030204" pitchFamily="34" charset="0"/>
                <a:ea typeface="Calibri" panose="020F0502020204030204" pitchFamily="34" charset="0"/>
                <a:cs typeface="Calibri" panose="020F0502020204030204" pitchFamily="34" charset="0"/>
              </a:rPr>
              <a:t>Inventory</a:t>
            </a:r>
            <a:r>
              <a:rPr lang="en-US" sz="1200" b="1" i="0" u="none" strike="noStrike" baseline="0">
                <a:solidFill>
                  <a:schemeClr val="bg1"/>
                </a:solidFill>
                <a:latin typeface="Calibri" panose="020F0502020204030204" pitchFamily="34" charset="0"/>
                <a:ea typeface="Calibri" panose="020F0502020204030204" pitchFamily="34" charset="0"/>
                <a:cs typeface="Calibri" panose="020F0502020204030204" pitchFamily="34" charset="0"/>
              </a:rPr>
              <a:t> </a:t>
            </a:r>
            <a:r>
              <a:rPr lang="en-US" sz="1200" b="1" i="0" u="none" strike="noStrike">
                <a:solidFill>
                  <a:schemeClr val="bg1"/>
                </a:solidFill>
                <a:latin typeface="Calibri" panose="020F0502020204030204" pitchFamily="34" charset="0"/>
                <a:ea typeface="Calibri" panose="020F0502020204030204" pitchFamily="34" charset="0"/>
                <a:cs typeface="Calibri" panose="020F0502020204030204" pitchFamily="34" charset="0"/>
              </a:rPr>
              <a:t>Management System</a:t>
            </a:r>
          </a:p>
        </xdr:txBody>
      </xdr:sp>
      <xdr:grpSp>
        <xdr:nvGrpSpPr>
          <xdr:cNvPr id="20" name="Group 19">
            <a:extLst>
              <a:ext uri="{FF2B5EF4-FFF2-40B4-BE49-F238E27FC236}">
                <a16:creationId xmlns:a16="http://schemas.microsoft.com/office/drawing/2014/main" id="{B6F872A8-50D0-169B-E5E8-BC0BCE3CBC25}"/>
              </a:ext>
            </a:extLst>
          </xdr:cNvPr>
          <xdr:cNvGrpSpPr/>
        </xdr:nvGrpSpPr>
        <xdr:grpSpPr>
          <a:xfrm>
            <a:off x="438152" y="1805941"/>
            <a:ext cx="1541144" cy="2873526"/>
            <a:chOff x="508636" y="1712595"/>
            <a:chExt cx="1280160" cy="2715411"/>
          </a:xfrm>
          <a:grpFill/>
        </xdr:grpSpPr>
        <xdr:sp macro="" textlink="">
          <xdr:nvSpPr>
            <xdr:cNvPr id="21" name="Rectangle 20">
              <a:hlinkClick xmlns:r="http://schemas.openxmlformats.org/officeDocument/2006/relationships" r:id="rId4"/>
              <a:extLst>
                <a:ext uri="{FF2B5EF4-FFF2-40B4-BE49-F238E27FC236}">
                  <a16:creationId xmlns:a16="http://schemas.microsoft.com/office/drawing/2014/main" id="{1D50D568-5D4C-3922-DC72-556956B3EC68}"/>
                </a:ext>
                <a:ext uri="{147F2762-F138-4A5C-976F-8EAC2B608ADB}">
                  <a16:predDERef xmlns:a16="http://schemas.microsoft.com/office/drawing/2014/main" pred="{4FC661B3-B65D-9069-327A-3CED6E24A9A2}"/>
                </a:ext>
              </a:extLst>
            </xdr:cNvPr>
            <xdr:cNvSpPr/>
          </xdr:nvSpPr>
          <xdr:spPr>
            <a:xfrm>
              <a:off x="508636" y="1712595"/>
              <a:ext cx="1280160" cy="36576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l"/>
              <a:r>
                <a:rPr lang="en-US" sz="1400" b="1" i="0" u="none" strike="noStrike" cap="none" spc="0">
                  <a:ln>
                    <a:noFill/>
                  </a:ln>
                  <a:solidFill>
                    <a:schemeClr val="bg1"/>
                  </a:solidFill>
                  <a:effectLst/>
                  <a:latin typeface="Calibri" panose="020F0502020204030204" pitchFamily="34" charset="0"/>
                  <a:ea typeface="Calibri" panose="020F0502020204030204" pitchFamily="34" charset="0"/>
                  <a:cs typeface="Calibri" panose="020F0502020204030204" pitchFamily="34" charset="0"/>
                </a:rPr>
                <a:t>Dashboard</a:t>
              </a:r>
            </a:p>
          </xdr:txBody>
        </xdr:sp>
        <xdr:sp macro="" textlink="">
          <xdr:nvSpPr>
            <xdr:cNvPr id="22" name="Rectangle 21">
              <a:extLst>
                <a:ext uri="{FF2B5EF4-FFF2-40B4-BE49-F238E27FC236}">
                  <a16:creationId xmlns:a16="http://schemas.microsoft.com/office/drawing/2014/main" id="{19A76252-BB84-C281-F776-8FBD49360970}"/>
                </a:ext>
                <a:ext uri="{147F2762-F138-4A5C-976F-8EAC2B608ADB}">
                  <a16:predDERef xmlns:a16="http://schemas.microsoft.com/office/drawing/2014/main" pred="{6509E627-4724-4D01-84D5-43BB31EFA888}"/>
                </a:ext>
              </a:extLst>
            </xdr:cNvPr>
            <xdr:cNvSpPr/>
          </xdr:nvSpPr>
          <xdr:spPr>
            <a:xfrm>
              <a:off x="508636" y="2383923"/>
              <a:ext cx="1280160" cy="36576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l"/>
              <a:r>
                <a:rPr lang="en-US" sz="1400" b="1" i="0" u="none" strike="noStrike" cap="none" spc="0">
                  <a:ln>
                    <a:noFill/>
                  </a:ln>
                  <a:solidFill>
                    <a:schemeClr val="bg1"/>
                  </a:solidFill>
                  <a:effectLst/>
                  <a:latin typeface="Calibri" panose="020F0502020204030204" pitchFamily="34" charset="0"/>
                  <a:ea typeface="Calibri" panose="020F0502020204030204" pitchFamily="34" charset="0"/>
                  <a:cs typeface="Calibri" panose="020F0502020204030204" pitchFamily="34" charset="0"/>
                </a:rPr>
                <a:t>Products</a:t>
              </a:r>
            </a:p>
          </xdr:txBody>
        </xdr:sp>
        <xdr:sp macro="" textlink="">
          <xdr:nvSpPr>
            <xdr:cNvPr id="23" name="Rectangle 22">
              <a:hlinkClick xmlns:r="http://schemas.openxmlformats.org/officeDocument/2006/relationships" r:id="rId5"/>
              <a:extLst>
                <a:ext uri="{FF2B5EF4-FFF2-40B4-BE49-F238E27FC236}">
                  <a16:creationId xmlns:a16="http://schemas.microsoft.com/office/drawing/2014/main" id="{FD382577-4E37-5CCB-0157-91381DD008A5}"/>
                </a:ext>
                <a:ext uri="{147F2762-F138-4A5C-976F-8EAC2B608ADB}">
                  <a16:predDERef xmlns:a16="http://schemas.microsoft.com/office/drawing/2014/main" pred="{B939FB6C-1C16-4487-9A17-1D721E089D8C}"/>
                </a:ext>
              </a:extLst>
            </xdr:cNvPr>
            <xdr:cNvSpPr/>
          </xdr:nvSpPr>
          <xdr:spPr>
            <a:xfrm>
              <a:off x="508636" y="2048259"/>
              <a:ext cx="1280160" cy="36576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l"/>
              <a:r>
                <a:rPr lang="en-US" sz="1400" b="1" i="0" u="none" strike="noStrike" cap="none" spc="0" baseline="0">
                  <a:ln>
                    <a:noFill/>
                  </a:ln>
                  <a:solidFill>
                    <a:schemeClr val="bg1"/>
                  </a:solidFill>
                  <a:effectLst/>
                  <a:uFill>
                    <a:solidFill>
                      <a:srgbClr val="0070C0"/>
                    </a:solidFill>
                  </a:uFill>
                  <a:latin typeface="Calibri" panose="020F0502020204030204" pitchFamily="34" charset="0"/>
                  <a:ea typeface="Calibri" panose="020F0502020204030204" pitchFamily="34" charset="0"/>
                  <a:cs typeface="Calibri" panose="020F0502020204030204" pitchFamily="34" charset="0"/>
                </a:rPr>
                <a:t>Customer</a:t>
              </a:r>
            </a:p>
          </xdr:txBody>
        </xdr:sp>
        <xdr:sp macro="" textlink="">
          <xdr:nvSpPr>
            <xdr:cNvPr id="24" name="Rectangle 23">
              <a:hlinkClick xmlns:r="http://schemas.openxmlformats.org/officeDocument/2006/relationships" r:id="rId6"/>
              <a:extLst>
                <a:ext uri="{FF2B5EF4-FFF2-40B4-BE49-F238E27FC236}">
                  <a16:creationId xmlns:a16="http://schemas.microsoft.com/office/drawing/2014/main" id="{20EE5DF2-BB18-2BBB-CB1A-43C59276FBA3}"/>
                </a:ext>
                <a:ext uri="{147F2762-F138-4A5C-976F-8EAC2B608ADB}">
                  <a16:predDERef xmlns:a16="http://schemas.microsoft.com/office/drawing/2014/main" pred="{2B51644E-4193-4C75-9F74-3F9998592107}"/>
                </a:ext>
              </a:extLst>
            </xdr:cNvPr>
            <xdr:cNvSpPr/>
          </xdr:nvSpPr>
          <xdr:spPr>
            <a:xfrm>
              <a:off x="508636" y="4062246"/>
              <a:ext cx="1280160" cy="36576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l"/>
              <a:r>
                <a:rPr lang="en-US" sz="1400" b="1" i="0" u="sng" strike="noStrike" cap="none" spc="0">
                  <a:ln>
                    <a:noFill/>
                  </a:ln>
                  <a:solidFill>
                    <a:schemeClr val="bg1"/>
                  </a:solidFill>
                  <a:effectLst/>
                  <a:latin typeface="Calibri" panose="020F0502020204030204" pitchFamily="34" charset="0"/>
                  <a:ea typeface="Calibri" panose="020F0502020204030204" pitchFamily="34" charset="0"/>
                  <a:cs typeface="Calibri" panose="020F0502020204030204" pitchFamily="34" charset="0"/>
                </a:rPr>
                <a:t>Inventory</a:t>
              </a:r>
            </a:p>
          </xdr:txBody>
        </xdr:sp>
        <xdr:sp macro="" textlink="">
          <xdr:nvSpPr>
            <xdr:cNvPr id="25" name="Rectangle 24">
              <a:hlinkClick xmlns:r="http://schemas.openxmlformats.org/officeDocument/2006/relationships" r:id="rId7"/>
              <a:extLst>
                <a:ext uri="{FF2B5EF4-FFF2-40B4-BE49-F238E27FC236}">
                  <a16:creationId xmlns:a16="http://schemas.microsoft.com/office/drawing/2014/main" id="{6FCCFB3A-E696-3E19-F329-BFFCAAC01FB5}"/>
                </a:ext>
                <a:ext uri="{147F2762-F138-4A5C-976F-8EAC2B608ADB}">
                  <a16:predDERef xmlns:a16="http://schemas.microsoft.com/office/drawing/2014/main" pred="{DA23F778-6EFE-4C39-B222-9858666608E4}"/>
                </a:ext>
              </a:extLst>
            </xdr:cNvPr>
            <xdr:cNvSpPr/>
          </xdr:nvSpPr>
          <xdr:spPr>
            <a:xfrm>
              <a:off x="508636" y="3726579"/>
              <a:ext cx="1280160" cy="36576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l"/>
              <a:r>
                <a:rPr lang="en-US" sz="1400" b="1" i="0" u="none" strike="noStrike" cap="none" spc="0">
                  <a:ln>
                    <a:noFill/>
                  </a:ln>
                  <a:solidFill>
                    <a:schemeClr val="bg1"/>
                  </a:solidFill>
                  <a:effectLst/>
                  <a:latin typeface="Calibri" panose="020F0502020204030204" pitchFamily="34" charset="0"/>
                  <a:ea typeface="Calibri" panose="020F0502020204030204" pitchFamily="34" charset="0"/>
                  <a:cs typeface="Calibri" panose="020F0502020204030204" pitchFamily="34" charset="0"/>
                </a:rPr>
                <a:t>Sales</a:t>
              </a:r>
            </a:p>
          </xdr:txBody>
        </xdr:sp>
        <xdr:sp macro="" textlink="">
          <xdr:nvSpPr>
            <xdr:cNvPr id="26" name="Rectangle 25">
              <a:hlinkClick xmlns:r="http://schemas.openxmlformats.org/officeDocument/2006/relationships" r:id="rId8"/>
              <a:extLst>
                <a:ext uri="{FF2B5EF4-FFF2-40B4-BE49-F238E27FC236}">
                  <a16:creationId xmlns:a16="http://schemas.microsoft.com/office/drawing/2014/main" id="{660F37DC-E659-7487-EBE4-6C4F9F650486}"/>
                </a:ext>
                <a:ext uri="{147F2762-F138-4A5C-976F-8EAC2B608ADB}">
                  <a16:predDERef xmlns:a16="http://schemas.microsoft.com/office/drawing/2014/main" pred="{6FFFF218-B18D-41AA-AA29-6979FA38A556}"/>
                </a:ext>
              </a:extLst>
            </xdr:cNvPr>
            <xdr:cNvSpPr/>
          </xdr:nvSpPr>
          <xdr:spPr>
            <a:xfrm>
              <a:off x="508636" y="2719587"/>
              <a:ext cx="1280160" cy="36576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l"/>
              <a:r>
                <a:rPr lang="en-US" sz="1400" b="1" i="0" u="none" strike="noStrike" cap="none" spc="0">
                  <a:ln>
                    <a:noFill/>
                  </a:ln>
                  <a:solidFill>
                    <a:schemeClr val="bg1"/>
                  </a:solidFill>
                  <a:effectLst/>
                  <a:latin typeface="Calibri" panose="020F0502020204030204" pitchFamily="34" charset="0"/>
                  <a:ea typeface="Calibri" panose="020F0502020204030204" pitchFamily="34" charset="0"/>
                  <a:cs typeface="Calibri" panose="020F0502020204030204" pitchFamily="34" charset="0"/>
                </a:rPr>
                <a:t>Vendor</a:t>
              </a:r>
            </a:p>
          </xdr:txBody>
        </xdr:sp>
        <xdr:sp macro="" textlink="">
          <xdr:nvSpPr>
            <xdr:cNvPr id="27" name="Rectangle 26">
              <a:hlinkClick xmlns:r="http://schemas.openxmlformats.org/officeDocument/2006/relationships" r:id="rId9"/>
              <a:extLst>
                <a:ext uri="{FF2B5EF4-FFF2-40B4-BE49-F238E27FC236}">
                  <a16:creationId xmlns:a16="http://schemas.microsoft.com/office/drawing/2014/main" id="{C8076B72-53A2-8962-1C73-B8F1C4145BDE}"/>
                </a:ext>
                <a:ext uri="{147F2762-F138-4A5C-976F-8EAC2B608ADB}">
                  <a16:predDERef xmlns:a16="http://schemas.microsoft.com/office/drawing/2014/main" pred="{739F558E-A3F0-4E64-A7EB-65EC3C82B736}"/>
                </a:ext>
              </a:extLst>
            </xdr:cNvPr>
            <xdr:cNvSpPr/>
          </xdr:nvSpPr>
          <xdr:spPr>
            <a:xfrm>
              <a:off x="508636" y="3390915"/>
              <a:ext cx="1280160" cy="36576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l"/>
              <a:r>
                <a:rPr lang="en-US" sz="1400" b="1" i="0" u="none" strike="noStrike" cap="none" spc="0">
                  <a:ln>
                    <a:noFill/>
                  </a:ln>
                  <a:solidFill>
                    <a:schemeClr val="bg1"/>
                  </a:solidFill>
                  <a:effectLst/>
                  <a:latin typeface="Calibri" panose="020F0502020204030204" pitchFamily="34" charset="0"/>
                  <a:ea typeface="Calibri" panose="020F0502020204030204" pitchFamily="34" charset="0"/>
                  <a:cs typeface="Calibri" panose="020F0502020204030204" pitchFamily="34" charset="0"/>
                </a:rPr>
                <a:t>Purchase</a:t>
              </a:r>
            </a:p>
          </xdr:txBody>
        </xdr:sp>
        <xdr:sp macro="" textlink="">
          <xdr:nvSpPr>
            <xdr:cNvPr id="28" name="Rectangle 27">
              <a:hlinkClick xmlns:r="http://schemas.openxmlformats.org/officeDocument/2006/relationships" r:id="rId10"/>
              <a:extLst>
                <a:ext uri="{FF2B5EF4-FFF2-40B4-BE49-F238E27FC236}">
                  <a16:creationId xmlns:a16="http://schemas.microsoft.com/office/drawing/2014/main" id="{980E3436-C4F7-9A76-7CEC-17D057F53882}"/>
                </a:ext>
                <a:ext uri="{147F2762-F138-4A5C-976F-8EAC2B608ADB}">
                  <a16:predDERef xmlns:a16="http://schemas.microsoft.com/office/drawing/2014/main" pred="{72F0AEE9-A685-4715-905D-5AA50B2CC832}"/>
                </a:ext>
              </a:extLst>
            </xdr:cNvPr>
            <xdr:cNvSpPr/>
          </xdr:nvSpPr>
          <xdr:spPr>
            <a:xfrm>
              <a:off x="508636" y="3055251"/>
              <a:ext cx="1280160" cy="36576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l"/>
              <a:r>
                <a:rPr lang="en-US" sz="1400" b="1" i="0" u="none" strike="noStrike" cap="none" spc="0">
                  <a:ln>
                    <a:noFill/>
                  </a:ln>
                  <a:solidFill>
                    <a:schemeClr val="bg1"/>
                  </a:solidFill>
                  <a:effectLst/>
                  <a:latin typeface="Calibri" panose="020F0502020204030204" pitchFamily="34" charset="0"/>
                  <a:ea typeface="Calibri" panose="020F0502020204030204" pitchFamily="34" charset="0"/>
                  <a:cs typeface="Calibri" panose="020F0502020204030204" pitchFamily="34" charset="0"/>
                </a:rPr>
                <a:t>New Entry</a:t>
              </a:r>
            </a:p>
          </xdr:txBody>
        </xdr:sp>
      </xdr:grpSp>
    </xdr:grpSp>
    <xdr:clientData/>
  </xdr:twoCellAnchor>
</xdr:wsDr>
</file>

<file path=xl/drawings/drawing8.xml><?xml version="1.0" encoding="utf-8"?>
<xdr:wsDr xmlns:xdr="http://schemas.openxmlformats.org/drawingml/2006/spreadsheetDrawing" xmlns:a="http://schemas.openxmlformats.org/drawingml/2006/main">
  <xdr:twoCellAnchor editAs="absolute">
    <xdr:from>
      <xdr:col>3</xdr:col>
      <xdr:colOff>15240</xdr:colOff>
      <xdr:row>1</xdr:row>
      <xdr:rowOff>30480</xdr:rowOff>
    </xdr:from>
    <xdr:to>
      <xdr:col>15</xdr:col>
      <xdr:colOff>533400</xdr:colOff>
      <xdr:row>2</xdr:row>
      <xdr:rowOff>30480</xdr:rowOff>
    </xdr:to>
    <xdr:sp macro="" textlink="">
      <xdr:nvSpPr>
        <xdr:cNvPr id="15" name="Rectangle 14">
          <a:extLst>
            <a:ext uri="{FF2B5EF4-FFF2-40B4-BE49-F238E27FC236}">
              <a16:creationId xmlns:a16="http://schemas.microsoft.com/office/drawing/2014/main" id="{8C893EAE-BCBD-4F6A-AD63-607B81866A6F}"/>
            </a:ext>
          </a:extLst>
        </xdr:cNvPr>
        <xdr:cNvSpPr/>
      </xdr:nvSpPr>
      <xdr:spPr>
        <a:xfrm>
          <a:off x="2205990" y="154305"/>
          <a:ext cx="11224260" cy="485775"/>
        </a:xfrm>
        <a:prstGeom prst="rect">
          <a:avLst/>
        </a:prstGeom>
        <a:solidFill>
          <a:srgbClr val="FFC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000" b="1">
              <a:solidFill>
                <a:schemeClr val="tx1"/>
              </a:solidFill>
            </a:rPr>
            <a:t>Vendor</a:t>
          </a:r>
        </a:p>
      </xdr:txBody>
    </xdr:sp>
    <xdr:clientData/>
  </xdr:twoCellAnchor>
  <xdr:twoCellAnchor>
    <xdr:from>
      <xdr:col>1</xdr:col>
      <xdr:colOff>15240</xdr:colOff>
      <xdr:row>1</xdr:row>
      <xdr:rowOff>22860</xdr:rowOff>
    </xdr:from>
    <xdr:to>
      <xdr:col>1</xdr:col>
      <xdr:colOff>1689735</xdr:colOff>
      <xdr:row>20</xdr:row>
      <xdr:rowOff>111252</xdr:rowOff>
    </xdr:to>
    <xdr:grpSp>
      <xdr:nvGrpSpPr>
        <xdr:cNvPr id="16" name="Group 15">
          <a:hlinkClick xmlns:r="http://schemas.openxmlformats.org/officeDocument/2006/relationships" r:id="rId1"/>
          <a:extLst>
            <a:ext uri="{FF2B5EF4-FFF2-40B4-BE49-F238E27FC236}">
              <a16:creationId xmlns:a16="http://schemas.microsoft.com/office/drawing/2014/main" id="{0AAB2E72-3FB3-4728-9C96-2EFB839FB5DF}"/>
            </a:ext>
          </a:extLst>
        </xdr:cNvPr>
        <xdr:cNvGrpSpPr/>
      </xdr:nvGrpSpPr>
      <xdr:grpSpPr>
        <a:xfrm>
          <a:off x="350520" y="152400"/>
          <a:ext cx="1674495" cy="5391912"/>
          <a:chOff x="375285" y="629412"/>
          <a:chExt cx="1674495" cy="4236720"/>
        </a:xfrm>
        <a:solidFill>
          <a:srgbClr val="002060"/>
        </a:solidFill>
      </xdr:grpSpPr>
      <xdr:sp macro="" textlink="">
        <xdr:nvSpPr>
          <xdr:cNvPr id="17" name="Rectangle 16">
            <a:hlinkClick xmlns:r="http://schemas.openxmlformats.org/officeDocument/2006/relationships" r:id="rId2"/>
            <a:extLst>
              <a:ext uri="{FF2B5EF4-FFF2-40B4-BE49-F238E27FC236}">
                <a16:creationId xmlns:a16="http://schemas.microsoft.com/office/drawing/2014/main" id="{6539A93A-A863-08C7-63EB-29FEF16E4A36}"/>
              </a:ext>
            </a:extLst>
          </xdr:cNvPr>
          <xdr:cNvSpPr/>
        </xdr:nvSpPr>
        <xdr:spPr>
          <a:xfrm>
            <a:off x="375285" y="629412"/>
            <a:ext cx="1674495" cy="4236720"/>
          </a:xfrm>
          <a:prstGeom prst="rect">
            <a:avLst/>
          </a:prstGeom>
          <a:grpFill/>
        </xdr:spPr>
        <xdr:style>
          <a:lnRef idx="2">
            <a:schemeClr val="accent3"/>
          </a:lnRef>
          <a:fillRef idx="1">
            <a:schemeClr val="lt1"/>
          </a:fillRef>
          <a:effectRef idx="0">
            <a:schemeClr val="accent3"/>
          </a:effectRef>
          <a:fontRef idx="minor">
            <a:schemeClr val="dk1"/>
          </a:fontRef>
        </xdr:style>
        <xdr:txBody>
          <a:bodyPr spcFirstLastPara="0" vertOverflow="clip" horzOverflow="clip" wrap="square" lIns="91440" tIns="45720" rIns="91440" bIns="45720" rtlCol="0" anchor="ctr">
            <a:noAutofit/>
          </a:bodyPr>
          <a:lstStyle/>
          <a:p>
            <a:pPr marL="0" indent="0" algn="ctr"/>
            <a:endParaRPr lang="en-US" sz="1100">
              <a:solidFill>
                <a:schemeClr val="bg1"/>
              </a:solidFill>
              <a:latin typeface="+mn-lt"/>
              <a:ea typeface="+mn-lt"/>
              <a:cs typeface="+mn-lt"/>
            </a:endParaRPr>
          </a:p>
        </xdr:txBody>
      </xdr:sp>
      <xdr:pic>
        <xdr:nvPicPr>
          <xdr:cNvPr id="18" name="Picture 17">
            <a:extLst>
              <a:ext uri="{FF2B5EF4-FFF2-40B4-BE49-F238E27FC236}">
                <a16:creationId xmlns:a16="http://schemas.microsoft.com/office/drawing/2014/main" id="{8B7A6B5F-EB06-330B-529B-CB75836C6B28}"/>
              </a:ext>
              <a:ext uri="{147F2762-F138-4A5C-976F-8EAC2B608ADB}">
                <a16:predDERef xmlns:a16="http://schemas.microsoft.com/office/drawing/2014/main" pred="{F69C5330-EDCD-610B-0561-254E73F21250}"/>
              </a:ext>
            </a:extLst>
          </xdr:cNvPr>
          <xdr:cNvPicPr>
            <a:picLocks noChangeAspect="1"/>
          </xdr:cNvPicPr>
        </xdr:nvPicPr>
        <xdr:blipFill>
          <a:blip xmlns:r="http://schemas.openxmlformats.org/officeDocument/2006/relationships" r:embed="rId3"/>
          <a:stretch>
            <a:fillRect/>
          </a:stretch>
        </xdr:blipFill>
        <xdr:spPr>
          <a:xfrm>
            <a:off x="779145" y="790575"/>
            <a:ext cx="619125" cy="558165"/>
          </a:xfrm>
          <a:prstGeom prst="rect">
            <a:avLst/>
          </a:prstGeom>
          <a:grpFill/>
        </xdr:spPr>
      </xdr:pic>
      <xdr:sp macro="" textlink="">
        <xdr:nvSpPr>
          <xdr:cNvPr id="19" name="Rectangle 18">
            <a:extLst>
              <a:ext uri="{FF2B5EF4-FFF2-40B4-BE49-F238E27FC236}">
                <a16:creationId xmlns:a16="http://schemas.microsoft.com/office/drawing/2014/main" id="{9CA8286C-20B4-6836-E8AB-B2C2C50D84C1}"/>
              </a:ext>
              <a:ext uri="{147F2762-F138-4A5C-976F-8EAC2B608ADB}">
                <a16:predDERef xmlns:a16="http://schemas.microsoft.com/office/drawing/2014/main" pred="{8AB7CAF2-EA14-FF48-A653-C70706D078DB}"/>
              </a:ext>
            </a:extLst>
          </xdr:cNvPr>
          <xdr:cNvSpPr/>
        </xdr:nvSpPr>
        <xdr:spPr>
          <a:xfrm>
            <a:off x="381000" y="1348740"/>
            <a:ext cx="1630680" cy="54864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spcFirstLastPara="0" vertOverflow="clip" horzOverflow="clip" wrap="square" lIns="91440" tIns="45720" rIns="91440" bIns="45720" rtlCol="0" anchor="ctr">
            <a:noAutofit/>
          </a:bodyPr>
          <a:lstStyle/>
          <a:p>
            <a:pPr marL="0" indent="0" algn="ctr"/>
            <a:r>
              <a:rPr lang="en-US" sz="1200" b="1" i="0" u="none" strike="noStrike">
                <a:solidFill>
                  <a:schemeClr val="bg1"/>
                </a:solidFill>
                <a:latin typeface="Calibri" panose="020F0502020204030204" pitchFamily="34" charset="0"/>
                <a:ea typeface="Calibri" panose="020F0502020204030204" pitchFamily="34" charset="0"/>
                <a:cs typeface="Calibri" panose="020F0502020204030204" pitchFamily="34" charset="0"/>
              </a:rPr>
              <a:t>Inventory</a:t>
            </a:r>
            <a:r>
              <a:rPr lang="en-US" sz="1200" b="1" i="0" u="none" strike="noStrike" baseline="0">
                <a:solidFill>
                  <a:schemeClr val="bg1"/>
                </a:solidFill>
                <a:latin typeface="Calibri" panose="020F0502020204030204" pitchFamily="34" charset="0"/>
                <a:ea typeface="Calibri" panose="020F0502020204030204" pitchFamily="34" charset="0"/>
                <a:cs typeface="Calibri" panose="020F0502020204030204" pitchFamily="34" charset="0"/>
              </a:rPr>
              <a:t> </a:t>
            </a:r>
            <a:r>
              <a:rPr lang="en-US" sz="1200" b="1" i="0" u="none" strike="noStrike">
                <a:solidFill>
                  <a:schemeClr val="bg1"/>
                </a:solidFill>
                <a:latin typeface="Calibri" panose="020F0502020204030204" pitchFamily="34" charset="0"/>
                <a:ea typeface="Calibri" panose="020F0502020204030204" pitchFamily="34" charset="0"/>
                <a:cs typeface="Calibri" panose="020F0502020204030204" pitchFamily="34" charset="0"/>
              </a:rPr>
              <a:t>Management System</a:t>
            </a:r>
          </a:p>
        </xdr:txBody>
      </xdr:sp>
      <xdr:grpSp>
        <xdr:nvGrpSpPr>
          <xdr:cNvPr id="20" name="Group 19">
            <a:extLst>
              <a:ext uri="{FF2B5EF4-FFF2-40B4-BE49-F238E27FC236}">
                <a16:creationId xmlns:a16="http://schemas.microsoft.com/office/drawing/2014/main" id="{815C7E45-7A4A-3E29-B171-E39F11A66BCF}"/>
              </a:ext>
            </a:extLst>
          </xdr:cNvPr>
          <xdr:cNvGrpSpPr/>
        </xdr:nvGrpSpPr>
        <xdr:grpSpPr>
          <a:xfrm>
            <a:off x="438152" y="1805941"/>
            <a:ext cx="1541144" cy="2873526"/>
            <a:chOff x="508636" y="1712595"/>
            <a:chExt cx="1280160" cy="2715411"/>
          </a:xfrm>
          <a:grpFill/>
        </xdr:grpSpPr>
        <xdr:sp macro="" textlink="">
          <xdr:nvSpPr>
            <xdr:cNvPr id="21" name="Rectangle 20">
              <a:hlinkClick xmlns:r="http://schemas.openxmlformats.org/officeDocument/2006/relationships" r:id="rId4"/>
              <a:extLst>
                <a:ext uri="{FF2B5EF4-FFF2-40B4-BE49-F238E27FC236}">
                  <a16:creationId xmlns:a16="http://schemas.microsoft.com/office/drawing/2014/main" id="{F152A534-BB3C-C3FA-F350-10BF43C82EEA}"/>
                </a:ext>
                <a:ext uri="{147F2762-F138-4A5C-976F-8EAC2B608ADB}">
                  <a16:predDERef xmlns:a16="http://schemas.microsoft.com/office/drawing/2014/main" pred="{4FC661B3-B65D-9069-327A-3CED6E24A9A2}"/>
                </a:ext>
              </a:extLst>
            </xdr:cNvPr>
            <xdr:cNvSpPr/>
          </xdr:nvSpPr>
          <xdr:spPr>
            <a:xfrm>
              <a:off x="508636" y="1712595"/>
              <a:ext cx="1280160" cy="36576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l"/>
              <a:r>
                <a:rPr lang="en-US" sz="1400" b="1" i="0" u="none" strike="noStrike" cap="none" spc="0">
                  <a:ln>
                    <a:noFill/>
                  </a:ln>
                  <a:solidFill>
                    <a:schemeClr val="bg1"/>
                  </a:solidFill>
                  <a:effectLst/>
                  <a:latin typeface="Calibri" panose="020F0502020204030204" pitchFamily="34" charset="0"/>
                  <a:ea typeface="Calibri" panose="020F0502020204030204" pitchFamily="34" charset="0"/>
                  <a:cs typeface="Calibri" panose="020F0502020204030204" pitchFamily="34" charset="0"/>
                </a:rPr>
                <a:t>Dashboard</a:t>
              </a:r>
            </a:p>
          </xdr:txBody>
        </xdr:sp>
        <xdr:sp macro="" textlink="">
          <xdr:nvSpPr>
            <xdr:cNvPr id="22" name="Rectangle 21">
              <a:extLst>
                <a:ext uri="{FF2B5EF4-FFF2-40B4-BE49-F238E27FC236}">
                  <a16:creationId xmlns:a16="http://schemas.microsoft.com/office/drawing/2014/main" id="{EA11FA45-61DC-C142-1084-E675E8EEB572}"/>
                </a:ext>
                <a:ext uri="{147F2762-F138-4A5C-976F-8EAC2B608ADB}">
                  <a16:predDERef xmlns:a16="http://schemas.microsoft.com/office/drawing/2014/main" pred="{6509E627-4724-4D01-84D5-43BB31EFA888}"/>
                </a:ext>
              </a:extLst>
            </xdr:cNvPr>
            <xdr:cNvSpPr/>
          </xdr:nvSpPr>
          <xdr:spPr>
            <a:xfrm>
              <a:off x="508636" y="2383923"/>
              <a:ext cx="1280160" cy="36576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l"/>
              <a:r>
                <a:rPr lang="en-US" sz="1400" b="1" i="0" u="none" strike="noStrike" cap="none" spc="0">
                  <a:ln>
                    <a:noFill/>
                  </a:ln>
                  <a:solidFill>
                    <a:schemeClr val="bg1"/>
                  </a:solidFill>
                  <a:effectLst/>
                  <a:latin typeface="Calibri" panose="020F0502020204030204" pitchFamily="34" charset="0"/>
                  <a:ea typeface="Calibri" panose="020F0502020204030204" pitchFamily="34" charset="0"/>
                  <a:cs typeface="Calibri" panose="020F0502020204030204" pitchFamily="34" charset="0"/>
                </a:rPr>
                <a:t>Products</a:t>
              </a:r>
            </a:p>
          </xdr:txBody>
        </xdr:sp>
        <xdr:sp macro="" textlink="">
          <xdr:nvSpPr>
            <xdr:cNvPr id="23" name="Rectangle 22">
              <a:hlinkClick xmlns:r="http://schemas.openxmlformats.org/officeDocument/2006/relationships" r:id="rId5"/>
              <a:extLst>
                <a:ext uri="{FF2B5EF4-FFF2-40B4-BE49-F238E27FC236}">
                  <a16:creationId xmlns:a16="http://schemas.microsoft.com/office/drawing/2014/main" id="{C595B303-BB99-05FA-C36C-42582C10255C}"/>
                </a:ext>
                <a:ext uri="{147F2762-F138-4A5C-976F-8EAC2B608ADB}">
                  <a16:predDERef xmlns:a16="http://schemas.microsoft.com/office/drawing/2014/main" pred="{B939FB6C-1C16-4487-9A17-1D721E089D8C}"/>
                </a:ext>
              </a:extLst>
            </xdr:cNvPr>
            <xdr:cNvSpPr/>
          </xdr:nvSpPr>
          <xdr:spPr>
            <a:xfrm>
              <a:off x="508636" y="2048259"/>
              <a:ext cx="1280160" cy="36576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l"/>
              <a:r>
                <a:rPr lang="en-US" sz="1400" b="1" i="0" u="none" strike="noStrike" cap="none" spc="0" baseline="0">
                  <a:ln>
                    <a:noFill/>
                  </a:ln>
                  <a:solidFill>
                    <a:schemeClr val="bg1"/>
                  </a:solidFill>
                  <a:effectLst/>
                  <a:uFill>
                    <a:solidFill>
                      <a:srgbClr val="0070C0"/>
                    </a:solidFill>
                  </a:uFill>
                  <a:latin typeface="Calibri" panose="020F0502020204030204" pitchFamily="34" charset="0"/>
                  <a:ea typeface="Calibri" panose="020F0502020204030204" pitchFamily="34" charset="0"/>
                  <a:cs typeface="Calibri" panose="020F0502020204030204" pitchFamily="34" charset="0"/>
                </a:rPr>
                <a:t>Customer</a:t>
              </a:r>
            </a:p>
          </xdr:txBody>
        </xdr:sp>
        <xdr:sp macro="" textlink="">
          <xdr:nvSpPr>
            <xdr:cNvPr id="24" name="Rectangle 23">
              <a:hlinkClick xmlns:r="http://schemas.openxmlformats.org/officeDocument/2006/relationships" r:id="rId6"/>
              <a:extLst>
                <a:ext uri="{FF2B5EF4-FFF2-40B4-BE49-F238E27FC236}">
                  <a16:creationId xmlns:a16="http://schemas.microsoft.com/office/drawing/2014/main" id="{1AE09086-D6CF-8D78-29DD-8C86BA0869AA}"/>
                </a:ext>
                <a:ext uri="{147F2762-F138-4A5C-976F-8EAC2B608ADB}">
                  <a16:predDERef xmlns:a16="http://schemas.microsoft.com/office/drawing/2014/main" pred="{2B51644E-4193-4C75-9F74-3F9998592107}"/>
                </a:ext>
              </a:extLst>
            </xdr:cNvPr>
            <xdr:cNvSpPr/>
          </xdr:nvSpPr>
          <xdr:spPr>
            <a:xfrm>
              <a:off x="508636" y="4062246"/>
              <a:ext cx="1280160" cy="36576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l"/>
              <a:r>
                <a:rPr lang="en-US" sz="1400" b="1" i="0" u="none" strike="noStrike" cap="none" spc="0">
                  <a:ln>
                    <a:noFill/>
                  </a:ln>
                  <a:solidFill>
                    <a:schemeClr val="bg1"/>
                  </a:solidFill>
                  <a:effectLst/>
                  <a:latin typeface="Calibri" panose="020F0502020204030204" pitchFamily="34" charset="0"/>
                  <a:ea typeface="Calibri" panose="020F0502020204030204" pitchFamily="34" charset="0"/>
                  <a:cs typeface="Calibri" panose="020F0502020204030204" pitchFamily="34" charset="0"/>
                </a:rPr>
                <a:t>Inventory</a:t>
              </a:r>
            </a:p>
          </xdr:txBody>
        </xdr:sp>
        <xdr:sp macro="" textlink="">
          <xdr:nvSpPr>
            <xdr:cNvPr id="25" name="Rectangle 24">
              <a:hlinkClick xmlns:r="http://schemas.openxmlformats.org/officeDocument/2006/relationships" r:id="rId7"/>
              <a:extLst>
                <a:ext uri="{FF2B5EF4-FFF2-40B4-BE49-F238E27FC236}">
                  <a16:creationId xmlns:a16="http://schemas.microsoft.com/office/drawing/2014/main" id="{806FA04B-F51B-8510-A425-96C677D17173}"/>
                </a:ext>
                <a:ext uri="{147F2762-F138-4A5C-976F-8EAC2B608ADB}">
                  <a16:predDERef xmlns:a16="http://schemas.microsoft.com/office/drawing/2014/main" pred="{DA23F778-6EFE-4C39-B222-9858666608E4}"/>
                </a:ext>
              </a:extLst>
            </xdr:cNvPr>
            <xdr:cNvSpPr/>
          </xdr:nvSpPr>
          <xdr:spPr>
            <a:xfrm>
              <a:off x="508636" y="3726579"/>
              <a:ext cx="1280160" cy="36576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l"/>
              <a:r>
                <a:rPr lang="en-US" sz="1400" b="1" i="0" u="none" strike="noStrike" cap="none" spc="0">
                  <a:ln>
                    <a:noFill/>
                  </a:ln>
                  <a:solidFill>
                    <a:schemeClr val="bg1"/>
                  </a:solidFill>
                  <a:effectLst/>
                  <a:latin typeface="Calibri" panose="020F0502020204030204" pitchFamily="34" charset="0"/>
                  <a:ea typeface="Calibri" panose="020F0502020204030204" pitchFamily="34" charset="0"/>
                  <a:cs typeface="Calibri" panose="020F0502020204030204" pitchFamily="34" charset="0"/>
                </a:rPr>
                <a:t>Sales</a:t>
              </a:r>
            </a:p>
          </xdr:txBody>
        </xdr:sp>
        <xdr:sp macro="" textlink="">
          <xdr:nvSpPr>
            <xdr:cNvPr id="26" name="Rectangle 25">
              <a:hlinkClick xmlns:r="http://schemas.openxmlformats.org/officeDocument/2006/relationships" r:id="rId8"/>
              <a:extLst>
                <a:ext uri="{FF2B5EF4-FFF2-40B4-BE49-F238E27FC236}">
                  <a16:creationId xmlns:a16="http://schemas.microsoft.com/office/drawing/2014/main" id="{DC045A2D-6D14-E69E-4F74-85978EDC9AD1}"/>
                </a:ext>
                <a:ext uri="{147F2762-F138-4A5C-976F-8EAC2B608ADB}">
                  <a16:predDERef xmlns:a16="http://schemas.microsoft.com/office/drawing/2014/main" pred="{6FFFF218-B18D-41AA-AA29-6979FA38A556}"/>
                </a:ext>
              </a:extLst>
            </xdr:cNvPr>
            <xdr:cNvSpPr/>
          </xdr:nvSpPr>
          <xdr:spPr>
            <a:xfrm>
              <a:off x="508636" y="2719587"/>
              <a:ext cx="1280160" cy="36576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l"/>
              <a:r>
                <a:rPr lang="en-US" sz="1400" b="1" i="0" u="sng" strike="noStrike" cap="none" spc="0">
                  <a:ln>
                    <a:noFill/>
                  </a:ln>
                  <a:solidFill>
                    <a:schemeClr val="bg1"/>
                  </a:solidFill>
                  <a:effectLst/>
                  <a:latin typeface="Calibri" panose="020F0502020204030204" pitchFamily="34" charset="0"/>
                  <a:ea typeface="Calibri" panose="020F0502020204030204" pitchFamily="34" charset="0"/>
                  <a:cs typeface="Calibri" panose="020F0502020204030204" pitchFamily="34" charset="0"/>
                </a:rPr>
                <a:t>Vendor</a:t>
              </a:r>
            </a:p>
          </xdr:txBody>
        </xdr:sp>
        <xdr:sp macro="" textlink="">
          <xdr:nvSpPr>
            <xdr:cNvPr id="27" name="Rectangle 26">
              <a:hlinkClick xmlns:r="http://schemas.openxmlformats.org/officeDocument/2006/relationships" r:id="rId9"/>
              <a:extLst>
                <a:ext uri="{FF2B5EF4-FFF2-40B4-BE49-F238E27FC236}">
                  <a16:creationId xmlns:a16="http://schemas.microsoft.com/office/drawing/2014/main" id="{1B5E51D4-CF09-A231-7F2A-1142A775D9CD}"/>
                </a:ext>
                <a:ext uri="{147F2762-F138-4A5C-976F-8EAC2B608ADB}">
                  <a16:predDERef xmlns:a16="http://schemas.microsoft.com/office/drawing/2014/main" pred="{739F558E-A3F0-4E64-A7EB-65EC3C82B736}"/>
                </a:ext>
              </a:extLst>
            </xdr:cNvPr>
            <xdr:cNvSpPr/>
          </xdr:nvSpPr>
          <xdr:spPr>
            <a:xfrm>
              <a:off x="508636" y="3390915"/>
              <a:ext cx="1280160" cy="36576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l"/>
              <a:r>
                <a:rPr lang="en-US" sz="1400" b="1" i="0" u="none" strike="noStrike" cap="none" spc="0">
                  <a:ln>
                    <a:noFill/>
                  </a:ln>
                  <a:solidFill>
                    <a:schemeClr val="bg1"/>
                  </a:solidFill>
                  <a:effectLst/>
                  <a:latin typeface="Calibri" panose="020F0502020204030204" pitchFamily="34" charset="0"/>
                  <a:ea typeface="Calibri" panose="020F0502020204030204" pitchFamily="34" charset="0"/>
                  <a:cs typeface="Calibri" panose="020F0502020204030204" pitchFamily="34" charset="0"/>
                </a:rPr>
                <a:t>Purchase</a:t>
              </a:r>
            </a:p>
          </xdr:txBody>
        </xdr:sp>
        <xdr:sp macro="" textlink="">
          <xdr:nvSpPr>
            <xdr:cNvPr id="28" name="Rectangle 27">
              <a:hlinkClick xmlns:r="http://schemas.openxmlformats.org/officeDocument/2006/relationships" r:id="rId10"/>
              <a:extLst>
                <a:ext uri="{FF2B5EF4-FFF2-40B4-BE49-F238E27FC236}">
                  <a16:creationId xmlns:a16="http://schemas.microsoft.com/office/drawing/2014/main" id="{E2FC080C-49C8-B1B8-4C67-E9DF955201F4}"/>
                </a:ext>
                <a:ext uri="{147F2762-F138-4A5C-976F-8EAC2B608ADB}">
                  <a16:predDERef xmlns:a16="http://schemas.microsoft.com/office/drawing/2014/main" pred="{72F0AEE9-A685-4715-905D-5AA50B2CC832}"/>
                </a:ext>
              </a:extLst>
            </xdr:cNvPr>
            <xdr:cNvSpPr/>
          </xdr:nvSpPr>
          <xdr:spPr>
            <a:xfrm>
              <a:off x="508636" y="3055251"/>
              <a:ext cx="1280160" cy="36576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l"/>
              <a:r>
                <a:rPr lang="en-US" sz="1400" b="1" i="0" u="none" strike="noStrike" cap="none" spc="0">
                  <a:ln>
                    <a:noFill/>
                  </a:ln>
                  <a:solidFill>
                    <a:schemeClr val="bg1"/>
                  </a:solidFill>
                  <a:effectLst/>
                  <a:latin typeface="Calibri" panose="020F0502020204030204" pitchFamily="34" charset="0"/>
                  <a:ea typeface="Calibri" panose="020F0502020204030204" pitchFamily="34" charset="0"/>
                  <a:cs typeface="Calibri" panose="020F0502020204030204" pitchFamily="34" charset="0"/>
                </a:rPr>
                <a:t>New Entry</a:t>
              </a:r>
            </a:p>
          </xdr:txBody>
        </xdr:sp>
      </xdr:grpSp>
    </xdr:grpSp>
    <xdr:clientData/>
  </xdr:twoCellAnchor>
</xdr:wsDr>
</file>

<file path=xl/drawings/drawing9.xml><?xml version="1.0" encoding="utf-8"?>
<xdr:wsDr xmlns:xdr="http://schemas.openxmlformats.org/drawingml/2006/spreadsheetDrawing" xmlns:a="http://schemas.openxmlformats.org/drawingml/2006/main">
  <xdr:twoCellAnchor editAs="absolute">
    <xdr:from>
      <xdr:col>3</xdr:col>
      <xdr:colOff>7620</xdr:colOff>
      <xdr:row>1</xdr:row>
      <xdr:rowOff>22860</xdr:rowOff>
    </xdr:from>
    <xdr:to>
      <xdr:col>15</xdr:col>
      <xdr:colOff>53340</xdr:colOff>
      <xdr:row>2</xdr:row>
      <xdr:rowOff>22860</xdr:rowOff>
    </xdr:to>
    <xdr:sp macro="" textlink="">
      <xdr:nvSpPr>
        <xdr:cNvPr id="15" name="Rectangle 14">
          <a:extLst>
            <a:ext uri="{FF2B5EF4-FFF2-40B4-BE49-F238E27FC236}">
              <a16:creationId xmlns:a16="http://schemas.microsoft.com/office/drawing/2014/main" id="{51AD3F76-56F1-40C8-8A4C-77ED2D4F112A}"/>
            </a:ext>
          </a:extLst>
        </xdr:cNvPr>
        <xdr:cNvSpPr/>
      </xdr:nvSpPr>
      <xdr:spPr>
        <a:xfrm>
          <a:off x="2240280" y="228600"/>
          <a:ext cx="13860780" cy="487680"/>
        </a:xfrm>
        <a:prstGeom prst="rect">
          <a:avLst/>
        </a:prstGeom>
        <a:solidFill>
          <a:srgbClr val="FFC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000" b="1">
              <a:solidFill>
                <a:schemeClr val="tx1"/>
              </a:solidFill>
            </a:rPr>
            <a:t>Sales</a:t>
          </a:r>
        </a:p>
      </xdr:txBody>
    </xdr:sp>
    <xdr:clientData/>
  </xdr:twoCellAnchor>
  <xdr:twoCellAnchor>
    <xdr:from>
      <xdr:col>1</xdr:col>
      <xdr:colOff>38100</xdr:colOff>
      <xdr:row>1</xdr:row>
      <xdr:rowOff>22860</xdr:rowOff>
    </xdr:from>
    <xdr:to>
      <xdr:col>1</xdr:col>
      <xdr:colOff>1712595</xdr:colOff>
      <xdr:row>19</xdr:row>
      <xdr:rowOff>210312</xdr:rowOff>
    </xdr:to>
    <xdr:grpSp>
      <xdr:nvGrpSpPr>
        <xdr:cNvPr id="16" name="Group 15">
          <a:hlinkClick xmlns:r="http://schemas.openxmlformats.org/officeDocument/2006/relationships" r:id="rId1"/>
          <a:extLst>
            <a:ext uri="{FF2B5EF4-FFF2-40B4-BE49-F238E27FC236}">
              <a16:creationId xmlns:a16="http://schemas.microsoft.com/office/drawing/2014/main" id="{02D7BCFE-2424-405A-A75A-11FD408759CA}"/>
            </a:ext>
          </a:extLst>
        </xdr:cNvPr>
        <xdr:cNvGrpSpPr/>
      </xdr:nvGrpSpPr>
      <xdr:grpSpPr>
        <a:xfrm>
          <a:off x="373380" y="228600"/>
          <a:ext cx="1674495" cy="5125212"/>
          <a:chOff x="375285" y="629412"/>
          <a:chExt cx="1674495" cy="4236720"/>
        </a:xfrm>
        <a:solidFill>
          <a:srgbClr val="002060"/>
        </a:solidFill>
      </xdr:grpSpPr>
      <xdr:sp macro="" textlink="">
        <xdr:nvSpPr>
          <xdr:cNvPr id="17" name="Rectangle 16">
            <a:hlinkClick xmlns:r="http://schemas.openxmlformats.org/officeDocument/2006/relationships" r:id="rId2"/>
            <a:extLst>
              <a:ext uri="{FF2B5EF4-FFF2-40B4-BE49-F238E27FC236}">
                <a16:creationId xmlns:a16="http://schemas.microsoft.com/office/drawing/2014/main" id="{3E62A48F-8C08-2056-6DDB-B87CB1869969}"/>
              </a:ext>
            </a:extLst>
          </xdr:cNvPr>
          <xdr:cNvSpPr/>
        </xdr:nvSpPr>
        <xdr:spPr>
          <a:xfrm>
            <a:off x="375285" y="629412"/>
            <a:ext cx="1674495" cy="4236720"/>
          </a:xfrm>
          <a:prstGeom prst="rect">
            <a:avLst/>
          </a:prstGeom>
          <a:grpFill/>
        </xdr:spPr>
        <xdr:style>
          <a:lnRef idx="2">
            <a:schemeClr val="accent3"/>
          </a:lnRef>
          <a:fillRef idx="1">
            <a:schemeClr val="lt1"/>
          </a:fillRef>
          <a:effectRef idx="0">
            <a:schemeClr val="accent3"/>
          </a:effectRef>
          <a:fontRef idx="minor">
            <a:schemeClr val="dk1"/>
          </a:fontRef>
        </xdr:style>
        <xdr:txBody>
          <a:bodyPr spcFirstLastPara="0" vertOverflow="clip" horzOverflow="clip" wrap="square" lIns="91440" tIns="45720" rIns="91440" bIns="45720" rtlCol="0" anchor="ctr">
            <a:noAutofit/>
          </a:bodyPr>
          <a:lstStyle/>
          <a:p>
            <a:pPr marL="0" indent="0" algn="ctr"/>
            <a:endParaRPr lang="en-US" sz="1100">
              <a:solidFill>
                <a:schemeClr val="bg1"/>
              </a:solidFill>
              <a:latin typeface="+mn-lt"/>
              <a:ea typeface="+mn-lt"/>
              <a:cs typeface="+mn-lt"/>
            </a:endParaRPr>
          </a:p>
        </xdr:txBody>
      </xdr:sp>
      <xdr:pic>
        <xdr:nvPicPr>
          <xdr:cNvPr id="18" name="Picture 17">
            <a:extLst>
              <a:ext uri="{FF2B5EF4-FFF2-40B4-BE49-F238E27FC236}">
                <a16:creationId xmlns:a16="http://schemas.microsoft.com/office/drawing/2014/main" id="{CBBBE693-F32D-ADEB-42D0-2B8065A7F7A9}"/>
              </a:ext>
              <a:ext uri="{147F2762-F138-4A5C-976F-8EAC2B608ADB}">
                <a16:predDERef xmlns:a16="http://schemas.microsoft.com/office/drawing/2014/main" pred="{F69C5330-EDCD-610B-0561-254E73F21250}"/>
              </a:ext>
            </a:extLst>
          </xdr:cNvPr>
          <xdr:cNvPicPr>
            <a:picLocks noChangeAspect="1"/>
          </xdr:cNvPicPr>
        </xdr:nvPicPr>
        <xdr:blipFill>
          <a:blip xmlns:r="http://schemas.openxmlformats.org/officeDocument/2006/relationships" r:embed="rId3"/>
          <a:stretch>
            <a:fillRect/>
          </a:stretch>
        </xdr:blipFill>
        <xdr:spPr>
          <a:xfrm>
            <a:off x="779145" y="790575"/>
            <a:ext cx="619125" cy="558165"/>
          </a:xfrm>
          <a:prstGeom prst="rect">
            <a:avLst/>
          </a:prstGeom>
          <a:grpFill/>
        </xdr:spPr>
      </xdr:pic>
      <xdr:sp macro="" textlink="">
        <xdr:nvSpPr>
          <xdr:cNvPr id="19" name="Rectangle 18">
            <a:extLst>
              <a:ext uri="{FF2B5EF4-FFF2-40B4-BE49-F238E27FC236}">
                <a16:creationId xmlns:a16="http://schemas.microsoft.com/office/drawing/2014/main" id="{7675EC92-80C0-63CF-C287-0B3FA4AA371C}"/>
              </a:ext>
              <a:ext uri="{147F2762-F138-4A5C-976F-8EAC2B608ADB}">
                <a16:predDERef xmlns:a16="http://schemas.microsoft.com/office/drawing/2014/main" pred="{8AB7CAF2-EA14-FF48-A653-C70706D078DB}"/>
              </a:ext>
            </a:extLst>
          </xdr:cNvPr>
          <xdr:cNvSpPr/>
        </xdr:nvSpPr>
        <xdr:spPr>
          <a:xfrm>
            <a:off x="381000" y="1348740"/>
            <a:ext cx="1630680" cy="54864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spcFirstLastPara="0" vertOverflow="clip" horzOverflow="clip" wrap="square" lIns="91440" tIns="45720" rIns="91440" bIns="45720" rtlCol="0" anchor="ctr">
            <a:noAutofit/>
          </a:bodyPr>
          <a:lstStyle/>
          <a:p>
            <a:pPr marL="0" indent="0" algn="ctr"/>
            <a:r>
              <a:rPr lang="en-US" sz="1200" b="1" i="0" u="none" strike="noStrike">
                <a:solidFill>
                  <a:schemeClr val="bg1"/>
                </a:solidFill>
                <a:latin typeface="Calibri" panose="020F0502020204030204" pitchFamily="34" charset="0"/>
                <a:ea typeface="Calibri" panose="020F0502020204030204" pitchFamily="34" charset="0"/>
                <a:cs typeface="Calibri" panose="020F0502020204030204" pitchFamily="34" charset="0"/>
              </a:rPr>
              <a:t>Inventory</a:t>
            </a:r>
            <a:r>
              <a:rPr lang="en-US" sz="1200" b="1" i="0" u="none" strike="noStrike" baseline="0">
                <a:solidFill>
                  <a:schemeClr val="bg1"/>
                </a:solidFill>
                <a:latin typeface="Calibri" panose="020F0502020204030204" pitchFamily="34" charset="0"/>
                <a:ea typeface="Calibri" panose="020F0502020204030204" pitchFamily="34" charset="0"/>
                <a:cs typeface="Calibri" panose="020F0502020204030204" pitchFamily="34" charset="0"/>
              </a:rPr>
              <a:t> </a:t>
            </a:r>
            <a:r>
              <a:rPr lang="en-US" sz="1200" b="1" i="0" u="none" strike="noStrike">
                <a:solidFill>
                  <a:schemeClr val="bg1"/>
                </a:solidFill>
                <a:latin typeface="Calibri" panose="020F0502020204030204" pitchFamily="34" charset="0"/>
                <a:ea typeface="Calibri" panose="020F0502020204030204" pitchFamily="34" charset="0"/>
                <a:cs typeface="Calibri" panose="020F0502020204030204" pitchFamily="34" charset="0"/>
              </a:rPr>
              <a:t>Management System</a:t>
            </a:r>
          </a:p>
        </xdr:txBody>
      </xdr:sp>
      <xdr:grpSp>
        <xdr:nvGrpSpPr>
          <xdr:cNvPr id="20" name="Group 19">
            <a:extLst>
              <a:ext uri="{FF2B5EF4-FFF2-40B4-BE49-F238E27FC236}">
                <a16:creationId xmlns:a16="http://schemas.microsoft.com/office/drawing/2014/main" id="{C1AA5602-E85B-861D-A4EC-86DBCD5CF8C9}"/>
              </a:ext>
            </a:extLst>
          </xdr:cNvPr>
          <xdr:cNvGrpSpPr/>
        </xdr:nvGrpSpPr>
        <xdr:grpSpPr>
          <a:xfrm>
            <a:off x="438152" y="1805941"/>
            <a:ext cx="1541144" cy="2873526"/>
            <a:chOff x="508636" y="1712595"/>
            <a:chExt cx="1280160" cy="2715411"/>
          </a:xfrm>
          <a:grpFill/>
        </xdr:grpSpPr>
        <xdr:sp macro="" textlink="">
          <xdr:nvSpPr>
            <xdr:cNvPr id="21" name="Rectangle 20">
              <a:hlinkClick xmlns:r="http://schemas.openxmlformats.org/officeDocument/2006/relationships" r:id="rId4"/>
              <a:extLst>
                <a:ext uri="{FF2B5EF4-FFF2-40B4-BE49-F238E27FC236}">
                  <a16:creationId xmlns:a16="http://schemas.microsoft.com/office/drawing/2014/main" id="{5E04019B-B121-D007-C1B9-6745DB8499EB}"/>
                </a:ext>
                <a:ext uri="{147F2762-F138-4A5C-976F-8EAC2B608ADB}">
                  <a16:predDERef xmlns:a16="http://schemas.microsoft.com/office/drawing/2014/main" pred="{4FC661B3-B65D-9069-327A-3CED6E24A9A2}"/>
                </a:ext>
              </a:extLst>
            </xdr:cNvPr>
            <xdr:cNvSpPr/>
          </xdr:nvSpPr>
          <xdr:spPr>
            <a:xfrm>
              <a:off x="508636" y="1712595"/>
              <a:ext cx="1280160" cy="36576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l"/>
              <a:r>
                <a:rPr lang="en-US" sz="1400" b="1" i="0" u="none" strike="noStrike" cap="none" spc="0">
                  <a:ln>
                    <a:noFill/>
                  </a:ln>
                  <a:solidFill>
                    <a:schemeClr val="bg1"/>
                  </a:solidFill>
                  <a:effectLst/>
                  <a:latin typeface="Calibri" panose="020F0502020204030204" pitchFamily="34" charset="0"/>
                  <a:ea typeface="Calibri" panose="020F0502020204030204" pitchFamily="34" charset="0"/>
                  <a:cs typeface="Calibri" panose="020F0502020204030204" pitchFamily="34" charset="0"/>
                </a:rPr>
                <a:t>Dashboard</a:t>
              </a:r>
            </a:p>
          </xdr:txBody>
        </xdr:sp>
        <xdr:sp macro="" textlink="">
          <xdr:nvSpPr>
            <xdr:cNvPr id="22" name="Rectangle 21">
              <a:extLst>
                <a:ext uri="{FF2B5EF4-FFF2-40B4-BE49-F238E27FC236}">
                  <a16:creationId xmlns:a16="http://schemas.microsoft.com/office/drawing/2014/main" id="{F4DF033C-D1E7-7377-8189-D6A8A37DD510}"/>
                </a:ext>
                <a:ext uri="{147F2762-F138-4A5C-976F-8EAC2B608ADB}">
                  <a16:predDERef xmlns:a16="http://schemas.microsoft.com/office/drawing/2014/main" pred="{6509E627-4724-4D01-84D5-43BB31EFA888}"/>
                </a:ext>
              </a:extLst>
            </xdr:cNvPr>
            <xdr:cNvSpPr/>
          </xdr:nvSpPr>
          <xdr:spPr>
            <a:xfrm>
              <a:off x="508636" y="2383923"/>
              <a:ext cx="1280160" cy="36576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l"/>
              <a:r>
                <a:rPr lang="en-US" sz="1400" b="1" i="0" u="none" strike="noStrike" cap="none" spc="0">
                  <a:ln>
                    <a:noFill/>
                  </a:ln>
                  <a:solidFill>
                    <a:schemeClr val="bg1"/>
                  </a:solidFill>
                  <a:effectLst/>
                  <a:latin typeface="Calibri" panose="020F0502020204030204" pitchFamily="34" charset="0"/>
                  <a:ea typeface="Calibri" panose="020F0502020204030204" pitchFamily="34" charset="0"/>
                  <a:cs typeface="Calibri" panose="020F0502020204030204" pitchFamily="34" charset="0"/>
                </a:rPr>
                <a:t>Products</a:t>
              </a:r>
            </a:p>
          </xdr:txBody>
        </xdr:sp>
        <xdr:sp macro="" textlink="">
          <xdr:nvSpPr>
            <xdr:cNvPr id="23" name="Rectangle 22">
              <a:hlinkClick xmlns:r="http://schemas.openxmlformats.org/officeDocument/2006/relationships" r:id="rId5"/>
              <a:extLst>
                <a:ext uri="{FF2B5EF4-FFF2-40B4-BE49-F238E27FC236}">
                  <a16:creationId xmlns:a16="http://schemas.microsoft.com/office/drawing/2014/main" id="{2D6B445C-EE9C-C655-D511-9745C407B1CC}"/>
                </a:ext>
                <a:ext uri="{147F2762-F138-4A5C-976F-8EAC2B608ADB}">
                  <a16:predDERef xmlns:a16="http://schemas.microsoft.com/office/drawing/2014/main" pred="{B939FB6C-1C16-4487-9A17-1D721E089D8C}"/>
                </a:ext>
              </a:extLst>
            </xdr:cNvPr>
            <xdr:cNvSpPr/>
          </xdr:nvSpPr>
          <xdr:spPr>
            <a:xfrm>
              <a:off x="508636" y="2048259"/>
              <a:ext cx="1280160" cy="36576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l"/>
              <a:r>
                <a:rPr lang="en-US" sz="1400" b="1" i="0" u="none" strike="noStrike" cap="none" spc="0" baseline="0">
                  <a:ln>
                    <a:noFill/>
                  </a:ln>
                  <a:solidFill>
                    <a:schemeClr val="bg1"/>
                  </a:solidFill>
                  <a:effectLst/>
                  <a:uFill>
                    <a:solidFill>
                      <a:srgbClr val="0070C0"/>
                    </a:solidFill>
                  </a:uFill>
                  <a:latin typeface="Calibri" panose="020F0502020204030204" pitchFamily="34" charset="0"/>
                  <a:ea typeface="Calibri" panose="020F0502020204030204" pitchFamily="34" charset="0"/>
                  <a:cs typeface="Calibri" panose="020F0502020204030204" pitchFamily="34" charset="0"/>
                </a:rPr>
                <a:t>Customer</a:t>
              </a:r>
            </a:p>
          </xdr:txBody>
        </xdr:sp>
        <xdr:sp macro="" textlink="">
          <xdr:nvSpPr>
            <xdr:cNvPr id="24" name="Rectangle 23">
              <a:hlinkClick xmlns:r="http://schemas.openxmlformats.org/officeDocument/2006/relationships" r:id="rId6"/>
              <a:extLst>
                <a:ext uri="{FF2B5EF4-FFF2-40B4-BE49-F238E27FC236}">
                  <a16:creationId xmlns:a16="http://schemas.microsoft.com/office/drawing/2014/main" id="{FCA529EE-769C-EF5D-540C-FBB7AC9BD36A}"/>
                </a:ext>
                <a:ext uri="{147F2762-F138-4A5C-976F-8EAC2B608ADB}">
                  <a16:predDERef xmlns:a16="http://schemas.microsoft.com/office/drawing/2014/main" pred="{2B51644E-4193-4C75-9F74-3F9998592107}"/>
                </a:ext>
              </a:extLst>
            </xdr:cNvPr>
            <xdr:cNvSpPr/>
          </xdr:nvSpPr>
          <xdr:spPr>
            <a:xfrm>
              <a:off x="508636" y="4062246"/>
              <a:ext cx="1280160" cy="36576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l"/>
              <a:r>
                <a:rPr lang="en-US" sz="1400" b="1" i="0" u="none" strike="noStrike" cap="none" spc="0">
                  <a:ln>
                    <a:noFill/>
                  </a:ln>
                  <a:solidFill>
                    <a:schemeClr val="bg1"/>
                  </a:solidFill>
                  <a:effectLst/>
                  <a:latin typeface="Calibri" panose="020F0502020204030204" pitchFamily="34" charset="0"/>
                  <a:ea typeface="Calibri" panose="020F0502020204030204" pitchFamily="34" charset="0"/>
                  <a:cs typeface="Calibri" panose="020F0502020204030204" pitchFamily="34" charset="0"/>
                </a:rPr>
                <a:t>Inventory</a:t>
              </a:r>
            </a:p>
          </xdr:txBody>
        </xdr:sp>
        <xdr:sp macro="" textlink="">
          <xdr:nvSpPr>
            <xdr:cNvPr id="25" name="Rectangle 24">
              <a:hlinkClick xmlns:r="http://schemas.openxmlformats.org/officeDocument/2006/relationships" r:id="rId7"/>
              <a:extLst>
                <a:ext uri="{FF2B5EF4-FFF2-40B4-BE49-F238E27FC236}">
                  <a16:creationId xmlns:a16="http://schemas.microsoft.com/office/drawing/2014/main" id="{7E46C5A7-43FB-72E4-D625-BB859B97966B}"/>
                </a:ext>
                <a:ext uri="{147F2762-F138-4A5C-976F-8EAC2B608ADB}">
                  <a16:predDERef xmlns:a16="http://schemas.microsoft.com/office/drawing/2014/main" pred="{DA23F778-6EFE-4C39-B222-9858666608E4}"/>
                </a:ext>
              </a:extLst>
            </xdr:cNvPr>
            <xdr:cNvSpPr/>
          </xdr:nvSpPr>
          <xdr:spPr>
            <a:xfrm>
              <a:off x="508636" y="3726579"/>
              <a:ext cx="1280160" cy="36576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l"/>
              <a:r>
                <a:rPr lang="en-US" sz="1400" b="1" i="0" u="sng" strike="noStrike" cap="none" spc="0">
                  <a:ln>
                    <a:noFill/>
                  </a:ln>
                  <a:solidFill>
                    <a:schemeClr val="bg1"/>
                  </a:solidFill>
                  <a:effectLst/>
                  <a:latin typeface="Calibri" panose="020F0502020204030204" pitchFamily="34" charset="0"/>
                  <a:ea typeface="Calibri" panose="020F0502020204030204" pitchFamily="34" charset="0"/>
                  <a:cs typeface="Calibri" panose="020F0502020204030204" pitchFamily="34" charset="0"/>
                </a:rPr>
                <a:t>Sales</a:t>
              </a:r>
            </a:p>
          </xdr:txBody>
        </xdr:sp>
        <xdr:sp macro="" textlink="">
          <xdr:nvSpPr>
            <xdr:cNvPr id="26" name="Rectangle 25">
              <a:hlinkClick xmlns:r="http://schemas.openxmlformats.org/officeDocument/2006/relationships" r:id="rId8"/>
              <a:extLst>
                <a:ext uri="{FF2B5EF4-FFF2-40B4-BE49-F238E27FC236}">
                  <a16:creationId xmlns:a16="http://schemas.microsoft.com/office/drawing/2014/main" id="{2DCB584D-B4F8-3274-B78A-EA95010783F6}"/>
                </a:ext>
                <a:ext uri="{147F2762-F138-4A5C-976F-8EAC2B608ADB}">
                  <a16:predDERef xmlns:a16="http://schemas.microsoft.com/office/drawing/2014/main" pred="{6FFFF218-B18D-41AA-AA29-6979FA38A556}"/>
                </a:ext>
              </a:extLst>
            </xdr:cNvPr>
            <xdr:cNvSpPr/>
          </xdr:nvSpPr>
          <xdr:spPr>
            <a:xfrm>
              <a:off x="508636" y="2719587"/>
              <a:ext cx="1280160" cy="36576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l"/>
              <a:r>
                <a:rPr lang="en-US" sz="1400" b="1" i="0" u="none" strike="noStrike" cap="none" spc="0">
                  <a:ln>
                    <a:noFill/>
                  </a:ln>
                  <a:solidFill>
                    <a:schemeClr val="bg1"/>
                  </a:solidFill>
                  <a:effectLst/>
                  <a:latin typeface="Calibri" panose="020F0502020204030204" pitchFamily="34" charset="0"/>
                  <a:ea typeface="Calibri" panose="020F0502020204030204" pitchFamily="34" charset="0"/>
                  <a:cs typeface="Calibri" panose="020F0502020204030204" pitchFamily="34" charset="0"/>
                </a:rPr>
                <a:t>Vendor</a:t>
              </a:r>
            </a:p>
          </xdr:txBody>
        </xdr:sp>
        <xdr:sp macro="" textlink="">
          <xdr:nvSpPr>
            <xdr:cNvPr id="27" name="Rectangle 26">
              <a:hlinkClick xmlns:r="http://schemas.openxmlformats.org/officeDocument/2006/relationships" r:id="rId9"/>
              <a:extLst>
                <a:ext uri="{FF2B5EF4-FFF2-40B4-BE49-F238E27FC236}">
                  <a16:creationId xmlns:a16="http://schemas.microsoft.com/office/drawing/2014/main" id="{B6684078-9F85-BA8A-FA1F-9847C30DC597}"/>
                </a:ext>
                <a:ext uri="{147F2762-F138-4A5C-976F-8EAC2B608ADB}">
                  <a16:predDERef xmlns:a16="http://schemas.microsoft.com/office/drawing/2014/main" pred="{739F558E-A3F0-4E64-A7EB-65EC3C82B736}"/>
                </a:ext>
              </a:extLst>
            </xdr:cNvPr>
            <xdr:cNvSpPr/>
          </xdr:nvSpPr>
          <xdr:spPr>
            <a:xfrm>
              <a:off x="508636" y="3390915"/>
              <a:ext cx="1280160" cy="36576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l"/>
              <a:r>
                <a:rPr lang="en-US" sz="1400" b="1" i="0" u="none" strike="noStrike" cap="none" spc="0">
                  <a:ln>
                    <a:noFill/>
                  </a:ln>
                  <a:solidFill>
                    <a:schemeClr val="bg1"/>
                  </a:solidFill>
                  <a:effectLst/>
                  <a:latin typeface="Calibri" panose="020F0502020204030204" pitchFamily="34" charset="0"/>
                  <a:ea typeface="Calibri" panose="020F0502020204030204" pitchFamily="34" charset="0"/>
                  <a:cs typeface="Calibri" panose="020F0502020204030204" pitchFamily="34" charset="0"/>
                </a:rPr>
                <a:t>Purchase</a:t>
              </a:r>
            </a:p>
          </xdr:txBody>
        </xdr:sp>
        <xdr:sp macro="" textlink="">
          <xdr:nvSpPr>
            <xdr:cNvPr id="28" name="Rectangle 27">
              <a:hlinkClick xmlns:r="http://schemas.openxmlformats.org/officeDocument/2006/relationships" r:id="rId10"/>
              <a:extLst>
                <a:ext uri="{FF2B5EF4-FFF2-40B4-BE49-F238E27FC236}">
                  <a16:creationId xmlns:a16="http://schemas.microsoft.com/office/drawing/2014/main" id="{CD2DA4F0-0182-D677-DEF2-1FDF786B1C44}"/>
                </a:ext>
                <a:ext uri="{147F2762-F138-4A5C-976F-8EAC2B608ADB}">
                  <a16:predDERef xmlns:a16="http://schemas.microsoft.com/office/drawing/2014/main" pred="{72F0AEE9-A685-4715-905D-5AA50B2CC832}"/>
                </a:ext>
              </a:extLst>
            </xdr:cNvPr>
            <xdr:cNvSpPr/>
          </xdr:nvSpPr>
          <xdr:spPr>
            <a:xfrm>
              <a:off x="508636" y="3055251"/>
              <a:ext cx="1280160" cy="36576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l"/>
              <a:r>
                <a:rPr lang="en-US" sz="1400" b="1" i="0" u="none" strike="noStrike" cap="none" spc="0">
                  <a:ln>
                    <a:noFill/>
                  </a:ln>
                  <a:solidFill>
                    <a:schemeClr val="bg1"/>
                  </a:solidFill>
                  <a:effectLst/>
                  <a:latin typeface="Calibri" panose="020F0502020204030204" pitchFamily="34" charset="0"/>
                  <a:ea typeface="Calibri" panose="020F0502020204030204" pitchFamily="34" charset="0"/>
                  <a:cs typeface="Calibri" panose="020F0502020204030204" pitchFamily="34" charset="0"/>
                </a:rPr>
                <a:t>New Entry</a:t>
              </a:r>
            </a:p>
          </xdr:txBody>
        </xdr:sp>
      </xdr:grpSp>
    </xdr:grpSp>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ARE KRISHNA" refreshedDate="45810.495103703703" createdVersion="8" refreshedVersion="8" minRefreshableVersion="3" recordCount="14" xr:uid="{F913891E-3F2B-4894-AF86-DDF496375EF7}">
  <cacheSource type="worksheet">
    <worksheetSource name="customersdata"/>
  </cacheSource>
  <cacheFields count="5">
    <cacheField name="Cust_ID" numFmtId="0">
      <sharedItems containsSemiMixedTypes="0" containsString="0" containsNumber="1" containsInteger="1" minValue="43" maxValue="3434"/>
    </cacheField>
    <cacheField name="Name" numFmtId="0">
      <sharedItems/>
    </cacheField>
    <cacheField name="Email" numFmtId="0">
      <sharedItems/>
    </cacheField>
    <cacheField name="Address" numFmtId="0">
      <sharedItems/>
    </cacheField>
    <cacheField name="Mobile" numFmtId="0">
      <sharedItems containsMixedTypes="1" containsNumber="1" containsInteger="1" minValue="24123" maxValue="9800675432"/>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ARE KRISHNA" refreshedDate="45811.448977893517" createdVersion="8" refreshedVersion="8" minRefreshableVersion="3" recordCount="11" xr:uid="{FC6E749B-E622-4D41-A4AA-BD8B91AF7111}">
  <cacheSource type="worksheet">
    <worksheetSource name="purchase"/>
  </cacheSource>
  <cacheFields count="7">
    <cacheField name="HSN Code" numFmtId="0">
      <sharedItems containsBlank="1"/>
    </cacheField>
    <cacheField name="Product Name" numFmtId="0">
      <sharedItems/>
    </cacheField>
    <cacheField name="Vendor" numFmtId="0">
      <sharedItems/>
    </cacheField>
    <cacheField name="Date" numFmtId="0">
      <sharedItems containsDate="1" containsBlank="1" containsMixedTypes="1" minDate="2025-03-05T00:00:00" maxDate="2025-11-06T00:00:00"/>
    </cacheField>
    <cacheField name="Units" numFmtId="0">
      <sharedItems containsString="0" containsBlank="1" containsNumber="1" containsInteger="1" minValue="45" maxValue="73"/>
    </cacheField>
    <cacheField name="Cost" numFmtId="42">
      <sharedItems containsMixedTypes="1" containsNumber="1" containsInteger="1" minValue="200" maxValue="52000"/>
    </cacheField>
    <cacheField name="Amount" numFmtId="42">
      <sharedItems containsMixedTypes="1" containsNumber="1" containsInteger="1" minValue="14000" maxValue="2340000"/>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ARE KRISHNA" refreshedDate="45811.449802430558" createdVersion="8" refreshedVersion="8" minRefreshableVersion="3" recordCount="13" xr:uid="{822D4E4F-E8E4-47C5-A6B9-9319732137C6}">
  <cacheSource type="worksheet">
    <worksheetSource name="product"/>
  </cacheSource>
  <cacheFields count="4">
    <cacheField name="HSN Code" numFmtId="0">
      <sharedItems/>
    </cacheField>
    <cacheField name="Product Name" numFmtId="0">
      <sharedItems/>
    </cacheField>
    <cacheField name="Cost" numFmtId="42">
      <sharedItems containsSemiMixedTypes="0" containsString="0" containsNumber="1" containsInteger="1" minValue="200" maxValue="52000"/>
    </cacheField>
    <cacheField name="Selling Price" numFmtId="42">
      <sharedItems containsSemiMixedTypes="0" containsString="0" containsNumber="1" minValue="240" maxValue="62400"/>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ARE KRISHNA" refreshedDate="45811.585081018522" createdVersion="8" refreshedVersion="8" minRefreshableVersion="3" recordCount="22" xr:uid="{FFDC9389-BD55-44B8-A545-CA9991B7291D}">
  <cacheSource type="worksheet">
    <worksheetSource name="sales"/>
  </cacheSource>
  <cacheFields count="14">
    <cacheField name="Cust_ID" numFmtId="0">
      <sharedItems containsSemiMixedTypes="0" containsString="0" containsNumber="1" containsInteger="1" minValue="93" maxValue="3434"/>
    </cacheField>
    <cacheField name="Cust_Name" numFmtId="0">
      <sharedItems count="12">
        <s v="MK Tech."/>
        <s v="krishna"/>
        <s v="Rajesh Kumar"/>
        <s v="Ram sales"/>
        <s v="Jain Tel."/>
        <s v="omsia"/>
        <s v="scd"/>
        <s v="99store"/>
        <s v="haariom"/>
        <s v="hii"/>
        <s v="Amit " u="1"/>
        <s v="Atul Ltd." u="1"/>
      </sharedItems>
    </cacheField>
    <cacheField name="HSN Code" numFmtId="0">
      <sharedItems/>
    </cacheField>
    <cacheField name="Product Name" numFmtId="0">
      <sharedItems count="14">
        <s v="Smart Watch"/>
        <s v="Desktop"/>
        <s v="Laptop HP xyz i5"/>
        <s v="Tablets"/>
        <s v="Rgb Keyboard"/>
        <s v="Mouse"/>
        <s v="Headphones"/>
        <s v="Camera"/>
        <s v="Fan"/>
        <s v="Wireless charge"/>
        <s v="pc"/>
        <s v="Speakers"/>
        <s v="Mobile"/>
        <s v="Wireless Printer" u="1"/>
      </sharedItems>
    </cacheField>
    <cacheField name="Date" numFmtId="166">
      <sharedItems containsSemiMixedTypes="0" containsNonDate="0" containsDate="1" containsString="0" minDate="2024-01-01T00:00:00" maxDate="2025-12-16T00:00:00" count="31">
        <d v="2024-01-01T00:00:00"/>
        <d v="2024-01-02T00:00:00"/>
        <d v="2024-01-03T00:00:00"/>
        <d v="2024-03-04T00:00:00"/>
        <d v="2024-03-05T00:00:00"/>
        <d v="2024-01-06T00:00:00"/>
        <d v="2024-07-07T00:00:00"/>
        <d v="2024-09-12T00:00:00"/>
        <d v="2025-03-06T00:00:00"/>
        <d v="2025-08-08T00:00:00"/>
        <d v="2025-05-08T00:00:00"/>
        <d v="2025-01-08T00:00:00"/>
        <d v="2025-12-08T00:00:00"/>
        <d v="2025-04-12T00:00:00"/>
        <d v="2025-08-12T00:00:00"/>
        <d v="2025-08-23T00:00:00"/>
        <d v="2025-10-23T00:00:00"/>
        <d v="2025-09-08T00:00:00"/>
        <d v="2025-09-09T00:00:00"/>
        <d v="2025-10-09T00:00:00"/>
        <d v="2025-12-12T00:00:00"/>
        <d v="2025-12-15T00:00:00"/>
        <d v="2025-10-08T00:00:00" u="1"/>
        <d v="2024-09-08T00:00:00" u="1"/>
        <d v="2025-05-06T00:00:00" u="1"/>
        <d v="2024-01-04T00:00:00" u="1"/>
        <d v="2024-01-05T00:00:00" u="1"/>
        <d v="2024-01-07T00:00:00" u="1"/>
        <d v="2024-01-08T00:00:00" u="1"/>
        <d v="2024-01-13T00:00:00" u="1"/>
        <d v="2024-02-23T00:00:00" u="1"/>
      </sharedItems>
      <fieldGroup par="13"/>
    </cacheField>
    <cacheField name="Year" numFmtId="14">
      <sharedItems count="2">
        <s v="2024"/>
        <s v="2025"/>
      </sharedItems>
    </cacheField>
    <cacheField name="Stock(Units)" numFmtId="0">
      <sharedItems containsSemiMixedTypes="0" containsString="0" containsNumber="1" containsInteger="1" minValue="-25" maxValue="1109"/>
    </cacheField>
    <cacheField name="Units" numFmtId="0">
      <sharedItems containsSemiMixedTypes="0" containsString="0" containsNumber="1" containsInteger="1" minValue="10" maxValue="123"/>
    </cacheField>
    <cacheField name="Cost price" numFmtId="0">
      <sharedItems containsSemiMixedTypes="0" containsString="0" containsNumber="1" containsInteger="1" minValue="200" maxValue="52000"/>
    </cacheField>
    <cacheField name="Selling Price" numFmtId="0">
      <sharedItems containsSemiMixedTypes="0" containsString="0" containsNumber="1" minValue="240" maxValue="62400"/>
    </cacheField>
    <cacheField name="Sales Amount" numFmtId="167">
      <sharedItems containsSemiMixedTypes="0" containsString="0" containsNumber="1" minValue="10320" maxValue="5116800"/>
    </cacheField>
    <cacheField name="Purchse amount" numFmtId="168">
      <sharedItems containsSemiMixedTypes="0" containsString="0" containsNumber="1" containsInteger="1" minValue="8600" maxValue="4264000"/>
    </cacheField>
    <cacheField name="Days (Date)" numFmtId="0" databaseField="0">
      <fieldGroup base="4">
        <rangePr groupBy="days" startDate="2024-01-01T00:00:00" endDate="2025-12-16T00:00:00"/>
        <groupItems count="368">
          <s v="&lt;01/01/2024"/>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12/16/2025"/>
        </groupItems>
      </fieldGroup>
    </cacheField>
    <cacheField name="Months (Date)" numFmtId="0" databaseField="0">
      <fieldGroup base="4">
        <rangePr groupBy="months" startDate="2024-01-01T00:00:00" endDate="2025-12-16T00:00:00"/>
        <groupItems count="14">
          <s v="&lt;01/01/2024"/>
          <s v="Jan"/>
          <s v="Feb"/>
          <s v="Mar"/>
          <s v="Apr"/>
          <s v="May"/>
          <s v="Jun"/>
          <s v="Jul"/>
          <s v="Aug"/>
          <s v="Sep"/>
          <s v="Oct"/>
          <s v="Nov"/>
          <s v="Dec"/>
          <s v="&gt;12/16/2025"/>
        </groupItems>
      </fieldGroup>
    </cacheField>
  </cacheFields>
  <extLst>
    <ext xmlns:x14="http://schemas.microsoft.com/office/spreadsheetml/2009/9/main" uri="{725AE2AE-9491-48be-B2B4-4EB974FC3084}">
      <x14:pivotCacheDefinition pivotCacheId="190214042"/>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HARE KRISHNA" refreshedDate="45830.86798599537" createdVersion="8" refreshedVersion="8" minRefreshableVersion="3" recordCount="16" xr:uid="{3C29677D-B17B-4860-96EE-912310812BB1}">
  <cacheSource type="worksheet">
    <worksheetSource name="inventorydy"/>
  </cacheSource>
  <cacheFields count="7">
    <cacheField name="HSN Code" numFmtId="0">
      <sharedItems/>
    </cacheField>
    <cacheField name="Product Name" numFmtId="0">
      <sharedItems count="16">
        <s v="Smart Watch"/>
        <s v="Laptop HP xyz i5"/>
        <s v="Wireless Printer"/>
        <s v="Desktop"/>
        <s v="Mouse"/>
        <s v="Rgb Keyboard"/>
        <s v="Camera"/>
        <s v="Headphones"/>
        <s v="Speakers"/>
        <s v="Tablets"/>
        <s v="Earphone"/>
        <s v="ElectricFan"/>
        <s v="Wireless charge"/>
        <s v="pc"/>
        <s v="Mobile"/>
        <s v="Fan" u="1"/>
      </sharedItems>
    </cacheField>
    <cacheField name="Cost" numFmtId="0">
      <sharedItems containsSemiMixedTypes="0" containsString="0" containsNumber="1" containsInteger="1" minValue="200" maxValue="52000"/>
    </cacheField>
    <cacheField name="P Units" numFmtId="0">
      <sharedItems containsSemiMixedTypes="0" containsString="0" containsNumber="1" containsInteger="1" minValue="0" maxValue="1312"/>
    </cacheField>
    <cacheField name="S Units" numFmtId="0">
      <sharedItems containsSemiMixedTypes="0" containsString="0" containsNumber="1" containsInteger="1" minValue="0" maxValue="203"/>
    </cacheField>
    <cacheField name="Stock" numFmtId="0">
      <sharedItems containsSemiMixedTypes="0" containsString="0" containsNumber="1" containsInteger="1" minValue="-115" maxValue="1109"/>
    </cacheField>
    <cacheField name="Stock Amt." numFmtId="164">
      <sharedItems containsSemiMixedTypes="0" containsString="0" containsNumber="1" containsInteger="1" minValue="-5980000" maxValue="1255800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
  <r>
    <n v="100"/>
    <s v="Ram sales"/>
    <s v="Ram@gmail.com"/>
    <s v="Delhi, India"/>
    <n v="980066"/>
  </r>
  <r>
    <n v="102"/>
    <s v="MK Tech."/>
    <s v="MK @gmail.com"/>
    <s v="Faridabad, 121101"/>
    <n v="932498"/>
  </r>
  <r>
    <n v="103"/>
    <s v="99store"/>
    <s v="99s@gmail.com"/>
    <s v="Agra, UP"/>
    <n v="342394823"/>
  </r>
  <r>
    <n v="104"/>
    <s v="Rajesh Kumar"/>
    <s v="Raj@gmail.com"/>
    <s v="New Delhi, 110011"/>
    <n v="3423423"/>
  </r>
  <r>
    <n v="105"/>
    <s v="Amit "/>
    <s v="Ami@gmail.com"/>
    <s v="Gurgaon, Sec-15"/>
    <n v="43342"/>
  </r>
  <r>
    <n v="106"/>
    <s v="Jain Tel."/>
    <s v="Jai@gmail.com"/>
    <s v="Janpath, New Delhi"/>
    <n v="2414432"/>
  </r>
  <r>
    <n v="1011"/>
    <s v="krishna"/>
    <s v="kri12@g,mai.com"/>
    <s v="ed"/>
    <n v="24123"/>
  </r>
  <r>
    <n v="93"/>
    <s v="scd"/>
    <s v="xwfcdenh"/>
    <s v="hwefi"/>
    <n v="9800665470"/>
  </r>
  <r>
    <n v="43"/>
    <s v="csdcsd"/>
    <s v="fcvefve"/>
    <s v="rgbgt"/>
    <n v="9800665470"/>
  </r>
  <r>
    <n v="1001"/>
    <s v="rishna"/>
    <s v="efegrve"/>
    <s v="fcefwercfwer"/>
    <n v="7977728693"/>
  </r>
  <r>
    <n v="303"/>
    <s v="haariom"/>
    <s v="krishnabhushak9087@gmail.com"/>
    <s v="mumbaii nahur"/>
    <n v="9798745434"/>
  </r>
  <r>
    <n v="304"/>
    <s v="omsia"/>
    <s v="om23@gmail.com"/>
    <s v="nahur"/>
    <n v="9800667745"/>
  </r>
  <r>
    <n v="1022"/>
    <s v="krishna"/>
    <s v="kri22@gmail.com"/>
    <s v="mumbau"/>
    <n v="9800675432"/>
  </r>
  <r>
    <n v="3434"/>
    <s v="hii"/>
    <s v="kidckj@jff"/>
    <s v="lcsdcfcmf"/>
    <s v="cknd"/>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
  <r>
    <s v="N1005"/>
    <s v="Mouse"/>
    <s v="GG Traders"/>
    <d v="2025-03-05T00:00:00"/>
    <n v="70"/>
    <n v="200"/>
    <n v="14000"/>
  </r>
  <r>
    <s v="N1006"/>
    <s v="Rgb Keyboard"/>
    <s v="GG Traders"/>
    <d v="2025-04-05T00:00:00"/>
    <n v="59"/>
    <n v="340"/>
    <n v="20060"/>
  </r>
  <r>
    <s v="N1010"/>
    <s v="Tablets"/>
    <s v="Compac"/>
    <d v="2025-08-05T00:00:00"/>
    <n v="57"/>
    <n v="23500"/>
    <n v="1339500"/>
  </r>
  <r>
    <s v="N1011"/>
    <s v="Earphone"/>
    <s v="Xyz"/>
    <d v="2025-11-05T00:00:00"/>
    <n v="65"/>
    <n v="400"/>
    <n v="26000"/>
  </r>
  <r>
    <s v="N1008"/>
    <s v="Headphones"/>
    <s v="Compac"/>
    <d v="2025-11-05T00:00:00"/>
    <n v="56"/>
    <n v="799"/>
    <n v="44744"/>
  </r>
  <r>
    <s v="N1001"/>
    <s v="Smart Watch"/>
    <s v="Tech99"/>
    <s v="13/5/2025"/>
    <n v="69"/>
    <n v="980"/>
    <n v="67620"/>
  </r>
  <r>
    <s v="N1001"/>
    <s v="Smart Watch"/>
    <s v="Tech99"/>
    <s v="13/5/2025"/>
    <n v="73"/>
    <n v="980"/>
    <n v="71540"/>
  </r>
  <r>
    <s v="N1002"/>
    <s v="Laptop HP xyz i5"/>
    <s v="Tech99"/>
    <s v="15/5/2025"/>
    <n v="52"/>
    <n v="34500"/>
    <n v="1794000"/>
  </r>
  <r>
    <s v="N1004"/>
    <s v="Desktop"/>
    <s v="GG Traders"/>
    <s v="23/6/2025"/>
    <n v="68"/>
    <n v="21000"/>
    <n v="755445"/>
  </r>
  <r>
    <s v="N1007"/>
    <s v="Camera"/>
    <s v="GG Traders"/>
    <s v="25/6/2025"/>
    <n v="45"/>
    <n v="52000"/>
    <n v="2340000"/>
  </r>
  <r>
    <m/>
    <s v=""/>
    <s v=""/>
    <m/>
    <m/>
    <s v=""/>
    <s v=""/>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
  <r>
    <s v="N1001"/>
    <s v="Smart Watch"/>
    <n v="980"/>
    <n v="1176"/>
  </r>
  <r>
    <s v="N1002"/>
    <s v="Laptop HP xyz i5"/>
    <n v="34500"/>
    <n v="41400"/>
  </r>
  <r>
    <s v="N1003"/>
    <s v="Wireless Printer"/>
    <n v="4600"/>
    <n v="5520"/>
  </r>
  <r>
    <s v="N1004"/>
    <s v="Desktop"/>
    <n v="21000"/>
    <n v="25200"/>
  </r>
  <r>
    <s v="N1005"/>
    <s v="Mouse"/>
    <n v="200"/>
    <n v="240"/>
  </r>
  <r>
    <s v="N1006"/>
    <s v="Rgb Keyboard"/>
    <n v="340"/>
    <n v="408"/>
  </r>
  <r>
    <s v="N1007"/>
    <s v="Camera"/>
    <n v="52000"/>
    <n v="62400"/>
  </r>
  <r>
    <s v="N1008"/>
    <s v="Headphones"/>
    <n v="799"/>
    <n v="958.8"/>
  </r>
  <r>
    <s v="N1009"/>
    <s v="Speakers"/>
    <n v="670"/>
    <n v="804"/>
  </r>
  <r>
    <s v="N1010"/>
    <s v="Tablets"/>
    <n v="23500"/>
    <n v="28200"/>
  </r>
  <r>
    <s v="N1011"/>
    <s v="Earphone"/>
    <n v="400"/>
    <n v="500"/>
  </r>
  <r>
    <s v="N1011"/>
    <s v="Mouse"/>
    <n v="500"/>
    <n v="580"/>
  </r>
  <r>
    <s v="N1012"/>
    <s v="Fan"/>
    <n v="1000"/>
    <n v="120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2">
  <r>
    <n v="102"/>
    <x v="0"/>
    <s v="N1001"/>
    <x v="0"/>
    <x v="0"/>
    <x v="0"/>
    <n v="1109"/>
    <n v="33"/>
    <n v="980"/>
    <n v="1176"/>
    <n v="38808"/>
    <n v="32340"/>
  </r>
  <r>
    <n v="1011"/>
    <x v="1"/>
    <s v="N1001"/>
    <x v="0"/>
    <x v="1"/>
    <x v="0"/>
    <n v="1109"/>
    <n v="37"/>
    <n v="980"/>
    <n v="1176"/>
    <n v="43512"/>
    <n v="36260"/>
  </r>
  <r>
    <n v="104"/>
    <x v="2"/>
    <s v="N1004"/>
    <x v="1"/>
    <x v="2"/>
    <x v="0"/>
    <n v="598"/>
    <n v="10"/>
    <n v="21000"/>
    <n v="25200"/>
    <n v="252000"/>
    <n v="210000"/>
  </r>
  <r>
    <n v="102"/>
    <x v="0"/>
    <s v="N1002"/>
    <x v="2"/>
    <x v="3"/>
    <x v="0"/>
    <n v="302"/>
    <n v="32"/>
    <n v="34500"/>
    <n v="41400"/>
    <n v="1324800"/>
    <n v="1104000"/>
  </r>
  <r>
    <n v="100"/>
    <x v="3"/>
    <s v="N1010"/>
    <x v="3"/>
    <x v="4"/>
    <x v="0"/>
    <n v="236"/>
    <n v="27"/>
    <n v="23500"/>
    <n v="28200"/>
    <n v="761400"/>
    <n v="634500"/>
  </r>
  <r>
    <n v="106"/>
    <x v="4"/>
    <s v="N1006"/>
    <x v="4"/>
    <x v="5"/>
    <x v="0"/>
    <n v="504"/>
    <n v="55"/>
    <n v="340"/>
    <n v="408"/>
    <n v="22440"/>
    <n v="18700"/>
  </r>
  <r>
    <n v="304"/>
    <x v="5"/>
    <s v="N1001"/>
    <x v="0"/>
    <x v="6"/>
    <x v="0"/>
    <n v="1109"/>
    <n v="33"/>
    <n v="980"/>
    <n v="1176"/>
    <n v="38808"/>
    <n v="32340"/>
  </r>
  <r>
    <n v="106"/>
    <x v="4"/>
    <s v="N1001"/>
    <x v="0"/>
    <x v="7"/>
    <x v="0"/>
    <n v="1109"/>
    <n v="34"/>
    <n v="980"/>
    <n v="1176"/>
    <n v="39984"/>
    <n v="33320"/>
  </r>
  <r>
    <n v="106"/>
    <x v="4"/>
    <s v="N1001"/>
    <x v="0"/>
    <x v="8"/>
    <x v="1"/>
    <n v="1109"/>
    <n v="43"/>
    <n v="980"/>
    <n v="1176"/>
    <n v="50568"/>
    <n v="42140"/>
  </r>
  <r>
    <n v="93"/>
    <x v="6"/>
    <s v="N1010"/>
    <x v="3"/>
    <x v="9"/>
    <x v="1"/>
    <n v="236"/>
    <n v="37"/>
    <n v="23500"/>
    <n v="28200"/>
    <n v="1043400"/>
    <n v="869500"/>
  </r>
  <r>
    <n v="103"/>
    <x v="7"/>
    <s v="N1005"/>
    <x v="5"/>
    <x v="10"/>
    <x v="1"/>
    <n v="627"/>
    <n v="43"/>
    <n v="200"/>
    <n v="240"/>
    <n v="10320"/>
    <n v="8600"/>
  </r>
  <r>
    <n v="1011"/>
    <x v="1"/>
    <s v="N1008"/>
    <x v="6"/>
    <x v="11"/>
    <x v="1"/>
    <n v="392"/>
    <n v="114"/>
    <n v="799"/>
    <n v="958.8"/>
    <n v="109303.2"/>
    <n v="91086"/>
  </r>
  <r>
    <n v="303"/>
    <x v="8"/>
    <s v="N1002"/>
    <x v="2"/>
    <x v="12"/>
    <x v="1"/>
    <n v="302"/>
    <n v="123"/>
    <n v="34500"/>
    <n v="41400"/>
    <n v="5092200"/>
    <n v="4243500"/>
  </r>
  <r>
    <n v="3434"/>
    <x v="9"/>
    <s v="N1007"/>
    <x v="7"/>
    <x v="13"/>
    <x v="1"/>
    <n v="-25"/>
    <n v="82"/>
    <n v="52000"/>
    <n v="62400"/>
    <n v="5116800"/>
    <n v="4264000"/>
  </r>
  <r>
    <n v="1022"/>
    <x v="1"/>
    <s v="N1002"/>
    <x v="2"/>
    <x v="14"/>
    <x v="1"/>
    <n v="302"/>
    <n v="45"/>
    <n v="34500"/>
    <n v="41400"/>
    <n v="1863000"/>
    <n v="1552500"/>
  </r>
  <r>
    <n v="106"/>
    <x v="4"/>
    <s v="N1007"/>
    <x v="7"/>
    <x v="15"/>
    <x v="1"/>
    <n v="34"/>
    <n v="43"/>
    <n v="52000"/>
    <n v="62400"/>
    <n v="2683200"/>
    <n v="2236000"/>
  </r>
  <r>
    <n v="304"/>
    <x v="5"/>
    <s v="N1001"/>
    <x v="0"/>
    <x v="16"/>
    <x v="1"/>
    <n v="1109"/>
    <n v="23"/>
    <n v="980"/>
    <n v="1176"/>
    <n v="27048"/>
    <n v="22540"/>
  </r>
  <r>
    <n v="104"/>
    <x v="2"/>
    <s v="N1012"/>
    <x v="8"/>
    <x v="17"/>
    <x v="1"/>
    <n v="580"/>
    <n v="20"/>
    <n v="1000"/>
    <n v="1200"/>
    <n v="24000"/>
    <n v="20000"/>
  </r>
  <r>
    <n v="93"/>
    <x v="6"/>
    <s v="N1013"/>
    <x v="9"/>
    <x v="18"/>
    <x v="1"/>
    <n v="200"/>
    <n v="100"/>
    <n v="300"/>
    <n v="400"/>
    <n v="40000"/>
    <n v="30000"/>
  </r>
  <r>
    <n v="106"/>
    <x v="4"/>
    <s v="N1014"/>
    <x v="10"/>
    <x v="19"/>
    <x v="1"/>
    <n v="246"/>
    <n v="34"/>
    <n v="493"/>
    <n v="800"/>
    <n v="27200"/>
    <n v="16762"/>
  </r>
  <r>
    <n v="104"/>
    <x v="2"/>
    <s v="N1009"/>
    <x v="11"/>
    <x v="20"/>
    <x v="1"/>
    <n v="450"/>
    <n v="50"/>
    <n v="670"/>
    <n v="804"/>
    <n v="40200"/>
    <n v="33500"/>
  </r>
  <r>
    <n v="104"/>
    <x v="2"/>
    <s v="N1015"/>
    <x v="12"/>
    <x v="21"/>
    <x v="1"/>
    <n v="24"/>
    <n v="20"/>
    <n v="10000"/>
    <n v="12000"/>
    <n v="240000"/>
    <n v="20000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6">
  <r>
    <s v="N1001"/>
    <x v="0"/>
    <n v="980"/>
    <n v="1312"/>
    <n v="203"/>
    <n v="1109"/>
    <n v="1086820"/>
  </r>
  <r>
    <s v="N1002"/>
    <x v="1"/>
    <n v="34500"/>
    <n v="502"/>
    <n v="171"/>
    <n v="331"/>
    <n v="11419500"/>
  </r>
  <r>
    <s v="N1003"/>
    <x v="2"/>
    <n v="4600"/>
    <n v="0"/>
    <n v="0"/>
    <n v="0"/>
    <n v="0"/>
  </r>
  <r>
    <s v="N1004"/>
    <x v="3"/>
    <n v="21000"/>
    <n v="608"/>
    <n v="10"/>
    <n v="598"/>
    <n v="12558000"/>
  </r>
  <r>
    <s v="N1005"/>
    <x v="4"/>
    <n v="200"/>
    <n v="670"/>
    <n v="43"/>
    <n v="627"/>
    <n v="125400"/>
  </r>
  <r>
    <s v="N1006"/>
    <x v="5"/>
    <n v="340"/>
    <n v="559"/>
    <n v="55"/>
    <n v="504"/>
    <n v="171360"/>
  </r>
  <r>
    <s v="N1007"/>
    <x v="6"/>
    <n v="52000"/>
    <n v="10"/>
    <n v="125"/>
    <n v="-115"/>
    <n v="-5980000"/>
  </r>
  <r>
    <s v="N1008"/>
    <x v="7"/>
    <n v="799"/>
    <n v="506"/>
    <n v="114"/>
    <n v="392"/>
    <n v="313208"/>
  </r>
  <r>
    <s v="N1009"/>
    <x v="8"/>
    <n v="670"/>
    <n v="500"/>
    <n v="50"/>
    <n v="450"/>
    <n v="301500"/>
  </r>
  <r>
    <s v="N1010"/>
    <x v="9"/>
    <n v="23500"/>
    <n v="300"/>
    <n v="64"/>
    <n v="236"/>
    <n v="5546000"/>
  </r>
  <r>
    <s v="N1011"/>
    <x v="10"/>
    <n v="400"/>
    <n v="605"/>
    <n v="0"/>
    <n v="605"/>
    <n v="242000"/>
  </r>
  <r>
    <s v="N1011"/>
    <x v="4"/>
    <n v="500"/>
    <n v="670"/>
    <n v="43"/>
    <n v="627"/>
    <n v="313500"/>
  </r>
  <r>
    <s v="N1012"/>
    <x v="11"/>
    <n v="1000"/>
    <n v="600"/>
    <n v="20"/>
    <n v="580"/>
    <n v="580000"/>
  </r>
  <r>
    <s v="N1013"/>
    <x v="12"/>
    <n v="300"/>
    <n v="300"/>
    <n v="100"/>
    <n v="200"/>
    <n v="60000"/>
  </r>
  <r>
    <s v="N1014"/>
    <x v="13"/>
    <n v="493"/>
    <n v="280"/>
    <n v="34"/>
    <n v="246"/>
    <n v="121278"/>
  </r>
  <r>
    <s v="N1015"/>
    <x v="14"/>
    <n v="10000"/>
    <n v="300"/>
    <n v="20"/>
    <n v="280"/>
    <n v="280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433A10E-8CF2-4EA2-86AE-70CB0873A6DF}" name="PivotTable8" cacheId="3"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1">
  <location ref="A35:C48" firstHeaderRow="0" firstDataRow="1" firstDataCol="1"/>
  <pivotFields count="14">
    <pivotField showAll="0"/>
    <pivotField showAll="0"/>
    <pivotField showAll="0"/>
    <pivotField axis="axisRow" showAll="0">
      <items count="15">
        <item x="7"/>
        <item x="1"/>
        <item x="6"/>
        <item x="2"/>
        <item x="5"/>
        <item x="4"/>
        <item x="0"/>
        <item x="11"/>
        <item x="3"/>
        <item m="1" x="13"/>
        <item x="8"/>
        <item x="9"/>
        <item x="10"/>
        <item x="12"/>
        <item t="default"/>
      </items>
    </pivotField>
    <pivotField numFmtId="14" showAll="0">
      <items count="32">
        <item x="0"/>
        <item x="1"/>
        <item x="2"/>
        <item m="1" x="25"/>
        <item m="1" x="26"/>
        <item x="5"/>
        <item m="1" x="27"/>
        <item m="1" x="28"/>
        <item m="1" x="29"/>
        <item m="1" x="30"/>
        <item x="3"/>
        <item x="4"/>
        <item x="6"/>
        <item m="1" x="23"/>
        <item x="11"/>
        <item x="8"/>
        <item x="13"/>
        <item m="1" x="24"/>
        <item x="10"/>
        <item x="9"/>
        <item x="14"/>
        <item x="15"/>
        <item m="1" x="22"/>
        <item x="16"/>
        <item x="17"/>
        <item x="18"/>
        <item x="19"/>
        <item x="7"/>
        <item x="12"/>
        <item x="20"/>
        <item x="21"/>
        <item t="default"/>
      </items>
    </pivotField>
    <pivotField showAll="0">
      <items count="3">
        <item x="0"/>
        <item x="1"/>
        <item t="default"/>
      </items>
    </pivotField>
    <pivotField showAll="0"/>
    <pivotField showAll="0"/>
    <pivotField showAll="0"/>
    <pivotField showAll="0"/>
    <pivotField dataField="1" showAll="0"/>
    <pivotField dataField="1" showAll="0"/>
    <pivotField showAll="0" defaultSubtotal="0"/>
    <pivotField showAll="0" defaultSubtotal="0">
      <items count="14">
        <item x="0"/>
        <item x="1"/>
        <item x="2"/>
        <item x="3"/>
        <item x="4"/>
        <item x="5"/>
        <item x="6"/>
        <item x="7"/>
        <item x="8"/>
        <item x="9"/>
        <item x="10"/>
        <item x="11"/>
        <item x="12"/>
        <item x="13"/>
      </items>
    </pivotField>
  </pivotFields>
  <rowFields count="1">
    <field x="3"/>
  </rowFields>
  <rowItems count="13">
    <i>
      <x/>
    </i>
    <i>
      <x v="1"/>
    </i>
    <i>
      <x v="2"/>
    </i>
    <i>
      <x v="3"/>
    </i>
    <i>
      <x v="4"/>
    </i>
    <i>
      <x v="5"/>
    </i>
    <i>
      <x v="6"/>
    </i>
    <i>
      <x v="7"/>
    </i>
    <i>
      <x v="8"/>
    </i>
    <i>
      <x v="10"/>
    </i>
    <i>
      <x v="11"/>
    </i>
    <i>
      <x v="12"/>
    </i>
    <i>
      <x v="13"/>
    </i>
  </rowItems>
  <colFields count="1">
    <field x="-2"/>
  </colFields>
  <colItems count="2">
    <i>
      <x/>
    </i>
    <i i="1">
      <x v="1"/>
    </i>
  </colItems>
  <dataFields count="2">
    <dataField name="Sum of Purchse amount" fld="11" baseField="0" baseItem="0"/>
    <dataField name="Sum of Sales Amount" fld="1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9A5C09A-4474-4281-9694-1FB74C0FEBD9}" name="PivotTable15" cacheId="3"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location ref="G46:I55" firstHeaderRow="0" firstDataRow="1" firstDataCol="1"/>
  <pivotFields count="14">
    <pivotField showAll="0"/>
    <pivotField showAll="0"/>
    <pivotField showAll="0"/>
    <pivotField showAll="0"/>
    <pivotField numFmtId="14" showAll="0">
      <items count="32">
        <item x="0"/>
        <item x="1"/>
        <item x="2"/>
        <item m="1" x="25"/>
        <item m="1" x="26"/>
        <item x="5"/>
        <item m="1" x="27"/>
        <item m="1" x="28"/>
        <item m="1" x="29"/>
        <item m="1" x="30"/>
        <item x="3"/>
        <item x="4"/>
        <item x="6"/>
        <item m="1" x="23"/>
        <item x="11"/>
        <item x="8"/>
        <item x="13"/>
        <item m="1" x="24"/>
        <item x="10"/>
        <item x="9"/>
        <item x="14"/>
        <item x="15"/>
        <item m="1" x="22"/>
        <item x="16"/>
        <item x="17"/>
        <item x="18"/>
        <item x="19"/>
        <item x="7"/>
        <item x="12"/>
        <item x="20"/>
        <item x="21"/>
        <item t="default"/>
      </items>
    </pivotField>
    <pivotField showAll="0">
      <items count="3">
        <item x="0"/>
        <item x="1"/>
        <item t="default"/>
      </items>
    </pivotField>
    <pivotField showAll="0"/>
    <pivotField showAll="0"/>
    <pivotField showAll="0"/>
    <pivotField showAll="0"/>
    <pivotField dataField="1" showAll="0"/>
    <pivotField dataField="1" showAll="0"/>
    <pivotField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axis="axisRow" showAll="0" defaultSubtotal="0">
      <items count="14">
        <item x="0"/>
        <item x="1"/>
        <item x="2"/>
        <item x="3"/>
        <item x="4"/>
        <item x="5"/>
        <item x="6"/>
        <item x="7"/>
        <item x="8"/>
        <item x="9"/>
        <item x="10"/>
        <item x="11"/>
        <item x="12"/>
        <item x="13"/>
      </items>
    </pivotField>
  </pivotFields>
  <rowFields count="1">
    <field x="13"/>
  </rowFields>
  <rowItems count="9">
    <i>
      <x v="1"/>
    </i>
    <i>
      <x v="3"/>
    </i>
    <i>
      <x v="4"/>
    </i>
    <i>
      <x v="5"/>
    </i>
    <i>
      <x v="7"/>
    </i>
    <i>
      <x v="8"/>
    </i>
    <i>
      <x v="9"/>
    </i>
    <i>
      <x v="10"/>
    </i>
    <i>
      <x v="12"/>
    </i>
  </rowItems>
  <colFields count="1">
    <field x="-2"/>
  </colFields>
  <colItems count="2">
    <i>
      <x/>
    </i>
    <i i="1">
      <x v="1"/>
    </i>
  </colItems>
  <dataFields count="2">
    <dataField name="Average of Purchse amount" fld="11" subtotal="average" baseField="13" baseItem="1" numFmtId="1"/>
    <dataField name="Average of Sales Amount" fld="10" subtotal="average" baseField="13" baseItem="1" numFmtId="165"/>
  </dataFields>
  <formats count="2">
    <format dxfId="59">
      <pivotArea outline="0" collapsedLevelsAreSubtotals="1" fieldPosition="0">
        <references count="1">
          <reference field="4294967294" count="1" selected="0">
            <x v="0"/>
          </reference>
        </references>
      </pivotArea>
    </format>
    <format dxfId="58">
      <pivotArea outline="0" collapsedLevelsAreSubtotals="1" fieldPosition="0">
        <references count="1">
          <reference field="4294967294"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1A05965-DB45-4555-B93D-BBDE79C308FF}" name="PivotTable3"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2:A13" firstHeaderRow="1" firstDataRow="1" firstDataCol="0"/>
  <pivotFields count="7">
    <pivotField showAll="0"/>
    <pivotField showAll="0"/>
    <pivotField showAll="0"/>
    <pivotField showAll="0"/>
    <pivotField showAll="0"/>
    <pivotField showAll="0"/>
    <pivotField dataField="1" showAll="0"/>
  </pivotFields>
  <rowItems count="1">
    <i/>
  </rowItems>
  <colItems count="1">
    <i/>
  </colItems>
  <dataFields count="1">
    <dataField name="Sum of Amount"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CC6FDAC-1F78-40BD-B060-9112D8169AC7}" name="PivotTable13"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N3:N6" firstHeaderRow="1" firstDataRow="1" firstDataCol="1"/>
  <pivotFields count="14">
    <pivotField showAll="0"/>
    <pivotField showAll="0"/>
    <pivotField showAll="0"/>
    <pivotField showAll="0"/>
    <pivotField showAll="0">
      <items count="32">
        <item x="0"/>
        <item x="1"/>
        <item x="2"/>
        <item m="1" x="25"/>
        <item m="1" x="26"/>
        <item x="5"/>
        <item m="1" x="27"/>
        <item m="1" x="28"/>
        <item m="1" x="29"/>
        <item m="1" x="30"/>
        <item m="1" x="24"/>
        <item x="9"/>
        <item x="10"/>
        <item x="11"/>
        <item m="1" x="22"/>
        <item x="13"/>
        <item x="14"/>
        <item x="15"/>
        <item x="3"/>
        <item x="4"/>
        <item x="6"/>
        <item m="1" x="23"/>
        <item x="8"/>
        <item x="16"/>
        <item x="17"/>
        <item x="18"/>
        <item x="19"/>
        <item x="7"/>
        <item x="12"/>
        <item x="20"/>
        <item x="21"/>
        <item t="default"/>
      </items>
    </pivotField>
    <pivotField axis="axisRow" showAll="0">
      <items count="3">
        <item x="0"/>
        <item x="1"/>
        <item t="default"/>
      </items>
    </pivotField>
    <pivotField showAll="0"/>
    <pivotField showAll="0"/>
    <pivotField showAll="0"/>
    <pivotField showAll="0"/>
    <pivotField showAll="0"/>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5"/>
  </rowFields>
  <rowItems count="3">
    <i>
      <x/>
    </i>
    <i>
      <x v="1"/>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866C6A3-BF40-42AB-9253-BA58F17F2F4E}" name="PivotTable9" cacheId="8" applyNumberFormats="0" applyBorderFormats="0" applyFontFormats="0" applyPatternFormats="0" applyAlignmentFormats="0" applyWidthHeightFormats="1" dataCaption="Values" showMissing="0" updatedVersion="8" minRefreshableVersion="3" useAutoFormatting="1" rowGrandTotals="0" itemPrintTitles="1" createdVersion="8" indent="0" outline="1" outlineData="1" multipleFieldFilters="0" chartFormat="9" rowHeaderCaption="Product Name">
  <location ref="O25:Q40" firstHeaderRow="0" firstDataRow="1" firstDataCol="1"/>
  <pivotFields count="7">
    <pivotField showAll="0"/>
    <pivotField axis="axisRow" showAll="0">
      <items count="17">
        <item x="6"/>
        <item x="3"/>
        <item x="10"/>
        <item x="7"/>
        <item x="1"/>
        <item x="4"/>
        <item x="5"/>
        <item x="0"/>
        <item x="8"/>
        <item x="9"/>
        <item x="2"/>
        <item m="1" x="15"/>
        <item x="12"/>
        <item x="13"/>
        <item x="14"/>
        <item x="11"/>
        <item t="default"/>
      </items>
    </pivotField>
    <pivotField showAll="0"/>
    <pivotField showAll="0"/>
    <pivotField showAll="0"/>
    <pivotField dataField="1" showAll="0"/>
    <pivotField dataField="1" showAll="0"/>
  </pivotFields>
  <rowFields count="1">
    <field x="1"/>
  </rowFields>
  <rowItems count="15">
    <i>
      <x/>
    </i>
    <i>
      <x v="1"/>
    </i>
    <i>
      <x v="2"/>
    </i>
    <i>
      <x v="3"/>
    </i>
    <i>
      <x v="4"/>
    </i>
    <i>
      <x v="5"/>
    </i>
    <i>
      <x v="6"/>
    </i>
    <i>
      <x v="7"/>
    </i>
    <i>
      <x v="8"/>
    </i>
    <i>
      <x v="9"/>
    </i>
    <i>
      <x v="10"/>
    </i>
    <i>
      <x v="12"/>
    </i>
    <i>
      <x v="13"/>
    </i>
    <i>
      <x v="14"/>
    </i>
    <i>
      <x v="15"/>
    </i>
  </rowItems>
  <colFields count="1">
    <field x="-2"/>
  </colFields>
  <colItems count="2">
    <i>
      <x/>
    </i>
    <i i="1">
      <x v="1"/>
    </i>
  </colItems>
  <dataFields count="2">
    <dataField name="Remaining Stock" fld="5" baseField="0" baseItem="1"/>
    <dataField name="Sum of Stock Amt." fld="6" baseField="0" baseItem="0"/>
  </dataFields>
  <chartFormats count="3">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DF147E3-F6C0-461D-A632-F633F39A5B69}"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A4" firstHeaderRow="1" firstDataRow="1" firstDataCol="0"/>
  <pivotFields count="5">
    <pivotField showAll="0"/>
    <pivotField dataField="1" showAll="0"/>
    <pivotField showAll="0"/>
    <pivotField showAll="0"/>
    <pivotField showAll="0"/>
  </pivotFields>
  <rowItems count="1">
    <i/>
  </rowItems>
  <colItems count="1">
    <i/>
  </colItems>
  <dataFields count="1">
    <dataField name="Count of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1D6345A0-7625-4274-9BD3-7BA3B07996F6}" name="PivotTable7"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F17:G23" firstHeaderRow="1" firstDataRow="1" firstDataCol="1"/>
  <pivotFields count="14">
    <pivotField showAll="0"/>
    <pivotField axis="axisRow" showAll="0" measureFilter="1" sortType="ascending">
      <items count="13">
        <item x="7"/>
        <item m="1" x="10"/>
        <item m="1" x="11"/>
        <item x="4"/>
        <item x="0"/>
        <item x="2"/>
        <item x="3"/>
        <item x="1"/>
        <item x="5"/>
        <item x="6"/>
        <item x="8"/>
        <item x="9"/>
        <item t="default"/>
      </items>
      <autoSortScope>
        <pivotArea dataOnly="0" outline="0" fieldPosition="0">
          <references count="1">
            <reference field="4294967294" count="1" selected="0">
              <x v="0"/>
            </reference>
          </references>
        </pivotArea>
      </autoSortScope>
    </pivotField>
    <pivotField showAll="0"/>
    <pivotField showAll="0"/>
    <pivotField showAll="0">
      <items count="32">
        <item x="0"/>
        <item x="1"/>
        <item x="2"/>
        <item m="1" x="25"/>
        <item m="1" x="26"/>
        <item x="5"/>
        <item m="1" x="27"/>
        <item m="1" x="28"/>
        <item m="1" x="29"/>
        <item m="1" x="30"/>
        <item m="1" x="24"/>
        <item x="9"/>
        <item x="10"/>
        <item x="11"/>
        <item m="1" x="22"/>
        <item x="13"/>
        <item x="14"/>
        <item x="15"/>
        <item x="3"/>
        <item x="4"/>
        <item x="6"/>
        <item m="1" x="23"/>
        <item x="8"/>
        <item x="16"/>
        <item x="17"/>
        <item x="18"/>
        <item x="19"/>
        <item x="7"/>
        <item x="12"/>
        <item x="20"/>
        <item x="21"/>
        <item t="default"/>
      </items>
    </pivotField>
    <pivotField showAll="0">
      <items count="3">
        <item x="0"/>
        <item x="1"/>
        <item t="default"/>
      </items>
    </pivotField>
    <pivotField showAll="0"/>
    <pivotField showAll="0"/>
    <pivotField showAll="0"/>
    <pivotField showAll="0"/>
    <pivotField dataField="1" showAll="0"/>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1"/>
  </rowFields>
  <rowItems count="6">
    <i>
      <x v="4"/>
    </i>
    <i>
      <x v="7"/>
    </i>
    <i>
      <x v="3"/>
    </i>
    <i>
      <x v="10"/>
    </i>
    <i>
      <x v="11"/>
    </i>
    <i t="grand">
      <x/>
    </i>
  </rowItems>
  <colItems count="1">
    <i/>
  </colItems>
  <dataFields count="1">
    <dataField name="Sum of Sales Amount" fld="10" baseField="0" baseItem="0"/>
  </dataFields>
  <chartFormats count="3">
    <chartFormat chart="0" format="1" series="1">
      <pivotArea type="data" outline="0" fieldPosition="0">
        <references count="1">
          <reference field="4294967294" count="1" selected="0">
            <x v="0"/>
          </reference>
        </references>
      </pivotArea>
    </chartFormat>
    <chartFormat chart="4" format="3" series="1">
      <pivotArea type="data" outline="0" fieldPosition="0">
        <references count="1">
          <reference field="4294967294" count="1" selected="0">
            <x v="0"/>
          </reference>
        </references>
      </pivotArea>
    </chartFormat>
    <chartFormat chart="4" format="4">
      <pivotArea type="data" outline="0" fieldPosition="0">
        <references count="2">
          <reference field="4294967294" count="1" selected="0">
            <x v="0"/>
          </reference>
          <reference field="1" count="1" selected="0">
            <x v="11"/>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E756B958-0EB9-4D82-ACB2-C701EAAE67C1}" name="PivotTable12"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J22:K28" firstHeaderRow="1" firstDataRow="1" firstDataCol="1"/>
  <pivotFields count="14">
    <pivotField showAll="0"/>
    <pivotField showAll="0"/>
    <pivotField showAll="0"/>
    <pivotField axis="axisRow" showAll="0" measureFilter="1" sortType="descending">
      <items count="15">
        <item x="7"/>
        <item x="1"/>
        <item x="8"/>
        <item x="6"/>
        <item x="2"/>
        <item x="5"/>
        <item x="10"/>
        <item x="4"/>
        <item x="0"/>
        <item x="11"/>
        <item x="3"/>
        <item x="9"/>
        <item m="1" x="13"/>
        <item x="12"/>
        <item t="default"/>
      </items>
      <autoSortScope>
        <pivotArea dataOnly="0" outline="0" fieldPosition="0">
          <references count="1">
            <reference field="4294967294" count="1" selected="0">
              <x v="0"/>
            </reference>
          </references>
        </pivotArea>
      </autoSortScope>
    </pivotField>
    <pivotField showAll="0">
      <items count="32">
        <item x="0"/>
        <item x="1"/>
        <item x="2"/>
        <item m="1" x="25"/>
        <item m="1" x="26"/>
        <item x="5"/>
        <item m="1" x="27"/>
        <item m="1" x="28"/>
        <item m="1" x="29"/>
        <item m="1" x="30"/>
        <item m="1" x="24"/>
        <item x="9"/>
        <item x="10"/>
        <item x="11"/>
        <item m="1" x="22"/>
        <item x="13"/>
        <item x="14"/>
        <item x="15"/>
        <item x="3"/>
        <item x="4"/>
        <item x="6"/>
        <item m="1" x="23"/>
        <item x="8"/>
        <item x="16"/>
        <item x="17"/>
        <item x="18"/>
        <item x="19"/>
        <item x="7"/>
        <item x="12"/>
        <item x="20"/>
        <item x="21"/>
        <item t="default"/>
      </items>
    </pivotField>
    <pivotField showAll="0">
      <items count="3">
        <item x="0"/>
        <item x="1"/>
        <item t="default"/>
      </items>
    </pivotField>
    <pivotField showAll="0"/>
    <pivotField showAll="0"/>
    <pivotField showAll="0"/>
    <pivotField showAll="0"/>
    <pivotField dataField="1" showAll="0"/>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3"/>
  </rowFields>
  <rowItems count="6">
    <i>
      <x v="4"/>
    </i>
    <i>
      <x/>
    </i>
    <i>
      <x v="10"/>
    </i>
    <i>
      <x v="1"/>
    </i>
    <i>
      <x v="13"/>
    </i>
    <i t="grand">
      <x/>
    </i>
  </rowItems>
  <colItems count="1">
    <i/>
  </colItems>
  <dataFields count="1">
    <dataField name="Sum of Sales Amount" fld="10" baseField="0" baseItem="0"/>
  </dataFields>
  <chartFormats count="2">
    <chartFormat chart="0" format="1" series="1">
      <pivotArea type="data" outline="0" fieldPosition="0">
        <references count="1">
          <reference field="4294967294" count="1" selected="0">
            <x v="0"/>
          </reference>
        </references>
      </pivotArea>
    </chartFormat>
    <chartFormat chart="4"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3"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567C7D74-B68C-465F-9384-C7F121955DA4}" name="PivotTable2"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8:A9" firstHeaderRow="1" firstDataRow="1" firstDataCol="0"/>
  <pivotFields count="4">
    <pivotField showAll="0"/>
    <pivotField dataField="1" showAll="0"/>
    <pivotField showAll="0"/>
    <pivotField showAll="0"/>
  </pivotFields>
  <rowItems count="1">
    <i/>
  </rowItems>
  <colItems count="1">
    <i/>
  </colItems>
  <dataFields count="1">
    <dataField name="Count of Product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54C154CB-1BDA-4834-A9BB-44A29ED9E816}" sourceName="Year">
  <pivotTables>
    <pivotTable tabId="28" name="PivotTable13"/>
    <pivotTable tabId="28" name="PivotTable12"/>
    <pivotTable tabId="28" name="PivotTable7"/>
    <pivotTable tabId="28" name="PivotTable15"/>
    <pivotTable tabId="28" name="PivotTable8"/>
  </pivotTables>
  <data>
    <tabular pivotCacheId="190214042">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Date" xr10:uid="{20206EDC-026E-435C-B049-F7C1E28E6D12}" sourceName="Months (Date)">
  <pivotTables>
    <pivotTable tabId="28" name="PivotTable15"/>
    <pivotTable tabId="28" name="PivotTable12"/>
    <pivotTable tabId="28" name="PivotTable13"/>
    <pivotTable tabId="28" name="PivotTable7"/>
    <pivotTable tabId="28" name="PivotTable8"/>
  </pivotTables>
  <data>
    <tabular pivotCacheId="190214042">
      <items count="14">
        <i x="1" s="1"/>
        <i x="3" s="1"/>
        <i x="4" s="1"/>
        <i x="5" s="1"/>
        <i x="7" s="1"/>
        <i x="8" s="1"/>
        <i x="9" s="1"/>
        <i x="10" s="1"/>
        <i x="12" s="1"/>
        <i x="2" s="1" nd="1"/>
        <i x="6" s="1" nd="1"/>
        <i x="11" s="1" nd="1"/>
        <i x="0" s="1" nd="1"/>
        <i x="13"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Name" xr10:uid="{80D74D01-7C79-424D-97E8-9EF1E7753B8C}" sourceName="Product Name">
  <pivotTables>
    <pivotTable tabId="28" name="PivotTable8"/>
  </pivotTables>
  <data>
    <tabular pivotCacheId="190214042">
      <items count="14">
        <i x="7" s="1"/>
        <i x="1" s="1"/>
        <i x="8" s="1"/>
        <i x="6" s="1"/>
        <i x="2" s="1"/>
        <i x="12" s="1"/>
        <i x="5" s="1"/>
        <i x="10" s="1"/>
        <i x="4" s="1"/>
        <i x="0" s="1"/>
        <i x="11" s="1"/>
        <i x="3" s="1"/>
        <i x="9" s="1"/>
        <i x="1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F637E139-35E0-48A2-940B-237A97C3D3C6}" cache="Slicer_Year" caption="Year" style="SlicerStyleDark2" rowHeight="274320"/>
  <slicer name="Months (Date) 1" xr10:uid="{02C9F46C-8051-409D-9216-A713F1D8C9A2}" cache="Slicer_Months__Date" caption="Months (Date)" style="SlicerStyleDark2"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A7D9C49C-DF9D-4D3B-86AA-1FDEA17A95DE}" cache="Slicer_Year" caption="Year" rowHeight="234950"/>
  <slicer name="Months (Date)" xr10:uid="{856AF519-3FD3-4BB4-9B63-9763E7A48F9B}" cache="Slicer_Months__Date" caption="Months (Date)" startItem="1" rowHeight="234950"/>
  <slicer name="Product Name" xr10:uid="{CB94C7B3-B797-4C2C-BB9F-FA5C10831587}" cache="Slicer_Product_Name" caption="Product Name"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8853277-DFD0-4913-A1F3-C681D0C95D61}" name="customersdata" displayName="customersdata" ref="D4:H18" totalsRowShown="0" headerRowDxfId="66" dataDxfId="65">
  <autoFilter ref="D4:H18" xr:uid="{48853277-DFD0-4913-A1F3-C681D0C95D61}"/>
  <tableColumns count="5">
    <tableColumn id="1" xr3:uid="{E32709B4-E64C-49BE-A036-B5AD349B0E71}" name="Cust_ID" dataDxfId="64"/>
    <tableColumn id="2" xr3:uid="{7C610D66-D370-42F1-BA8E-1B92055630C5}" name="Name" dataDxfId="63"/>
    <tableColumn id="3" xr3:uid="{590C723B-5C84-419E-8C7E-20058C934E84}" name="Email" dataDxfId="62"/>
    <tableColumn id="4" xr3:uid="{2EDB7D30-EF9F-4FC5-B198-0D4D6D6EC349}" name="Address" dataDxfId="61"/>
    <tableColumn id="5" xr3:uid="{8E22BEF4-A5B9-42BA-BAD1-2E13CB226B69}" name="Mobile" dataDxfId="60"/>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9840BEB-10E6-49E3-8912-0E6009B49694}" name="Table1" displayName="Table1" ref="D35:E53" totalsRowShown="0">
  <autoFilter ref="D35:E53" xr:uid="{B9840BEB-10E6-49E3-8912-0E6009B49694}"/>
  <tableColumns count="2">
    <tableColumn id="1" xr3:uid="{DD92A68F-D54A-4B4F-8FD4-CB594C7C79FB}" name="profit/per prod"/>
    <tableColumn id="2" xr3:uid="{5D2E3FDE-1F98-4AFF-94F3-41DCEBB00FF7}" name="Sales"/>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1E691A2-7E38-4BA9-B0ED-FE191F176052}" name="product" displayName="product" ref="D4:G21" totalsRowShown="0" headerRowDxfId="57" dataDxfId="56">
  <autoFilter ref="D4:G21" xr:uid="{D1E691A2-7E38-4BA9-B0ED-FE191F176052}"/>
  <tableColumns count="4">
    <tableColumn id="1" xr3:uid="{6CA54CAC-DC79-4021-8CAA-63B9F5EC6D9D}" name="HSN Code" dataDxfId="55"/>
    <tableColumn id="2" xr3:uid="{39F004D7-F587-4F7B-8BFE-AC7178CB8721}" name="Product Name" dataDxfId="54"/>
    <tableColumn id="3" xr3:uid="{FC1060CF-C68E-472A-9701-E6DF2BB55426}" name="Cost" dataDxfId="53"/>
    <tableColumn id="4" xr3:uid="{1935C3AA-2C85-43F4-AC3D-523432ABD0D3}" name="Selling Price" dataDxfId="52"/>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EED1613B-5B94-4806-9DA3-6144A9BF9908}" name="purchase" displayName="purchase" ref="D4:J19" totalsRowShown="0" headerRowDxfId="51" dataDxfId="50">
  <autoFilter ref="D4:J19" xr:uid="{EED1613B-5B94-4806-9DA3-6144A9BF9908}"/>
  <tableColumns count="7">
    <tableColumn id="1" xr3:uid="{4817557F-9D2E-4F1E-84EC-3F4979459268}" name="HSN Code" dataDxfId="49"/>
    <tableColumn id="2" xr3:uid="{258815D8-89FD-41A4-BC18-EA4283CA5728}" name="Product Name" dataDxfId="48">
      <calculatedColumnFormula>IFERROR(VLOOKUP(purchase[[#This Row],[HSN Code]],product[#All],2,0),"")</calculatedColumnFormula>
    </tableColumn>
    <tableColumn id="3" xr3:uid="{477A58E8-6A01-4C07-8CD7-ED254A5912E1}" name="Vendor" dataDxfId="47">
      <calculatedColumnFormula>IFERROR(VLOOKUP(purchase[[#This Row],[HSN Code]],vendorsdata[#All],3,0),"")</calculatedColumnFormula>
    </tableColumn>
    <tableColumn id="4" xr3:uid="{2832C071-5DF5-45AA-A7B7-E4C478892701}" name="Date" dataDxfId="46"/>
    <tableColumn id="5" xr3:uid="{84C8880E-6B13-458A-BA72-88C8C487FF5E}" name="Units" dataDxfId="45"/>
    <tableColumn id="6" xr3:uid="{C6D5EAC5-D520-4864-BB7E-8B1A40F38A8C}" name="Cost" dataDxfId="44">
      <calculatedColumnFormula>IFERROR(VLOOKUP(purchase[[#This Row],[HSN Code]],product[#All],3,0),"")</calculatedColumnFormula>
    </tableColumn>
    <tableColumn id="7" xr3:uid="{AFE6848D-2B30-4937-8CEB-3A5CA7983645}" name="Amount" dataDxfId="43">
      <calculatedColumnFormula>IFERROR(purchase[[#This Row],[Cost]]*purchase[[#This Row],[Units]],"")</calculatedColumnFormula>
    </tableColumn>
  </tableColumns>
  <tableStyleInfo name="TableStyleMedium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5A606E7-A40A-4128-BE12-99D8D88CE15A}" name="Inventory" displayName="Inventory" ref="D4:K20" totalsRowShown="0" headerRowDxfId="42" dataDxfId="41">
  <autoFilter ref="D4:K20" xr:uid="{05A606E7-A40A-4128-BE12-99D8D88CE15A}"/>
  <tableColumns count="8">
    <tableColumn id="1" xr3:uid="{77317F6C-0DC8-4005-AD20-BF54D673D271}" name="HSN Code" dataDxfId="40">
      <calculatedColumnFormula>IFERROR(product[[#This Row],[HSN Code]],"")</calculatedColumnFormula>
    </tableColumn>
    <tableColumn id="2" xr3:uid="{16B13367-110D-4F7E-B9F6-367B5978BC3F}" name="Product Name" dataDxfId="39">
      <calculatedColumnFormula>IFERROR(product[[#This Row],[Product Name]],"")</calculatedColumnFormula>
    </tableColumn>
    <tableColumn id="3" xr3:uid="{1A15D603-97E8-44A7-915D-AC184D9BAE31}" name="Cost" dataDxfId="38">
      <calculatedColumnFormula>IFERROR(product[[#This Row],[Cost]],"")</calculatedColumnFormula>
    </tableColumn>
    <tableColumn id="4" xr3:uid="{A84EB9A9-EAA4-48D0-974C-A121E62E53EC}" name="P Units" dataDxfId="37">
      <calculatedColumnFormula>SUMIF(purchase[Product Name],Inventory[[#This Row],[Product Name]],purchase[Units])</calculatedColumnFormula>
    </tableColumn>
    <tableColumn id="5" xr3:uid="{65645BDA-CA1E-4F13-8CA8-B95D0F7610FB}" name="S Units" dataDxfId="36">
      <calculatedColumnFormula>IFERROR(SUMIF(sales[Product Name],Inventory[[#This Row],[Product Name]],sales[Units]),"")</calculatedColumnFormula>
    </tableColumn>
    <tableColumn id="6" xr3:uid="{1DCF1563-EF9D-47DD-B962-2563E9EA2078}" name="Stock" dataDxfId="35">
      <calculatedColumnFormula>Inventory[[#This Row],[P Units]]-Inventory[[#This Row],[S Units]]</calculatedColumnFormula>
    </tableColumn>
    <tableColumn id="8" xr3:uid="{D784A4A2-D929-47DA-A21C-258A47734564}" name="Stock Amt." dataDxfId="34">
      <calculatedColumnFormula>IFERROR(Inventory[[#This Row],[Cost]]*Inventory[[#This Row],[Stock]],"")</calculatedColumnFormula>
    </tableColumn>
    <tableColumn id="7" xr3:uid="{BFA7B0DB-5371-4750-9BD7-959D5B247827}" name="notifications" dataDxfId="33">
      <calculatedColumnFormula>IFERROR(IF(Inventory[[#This Row],[Stock]]&lt;5,"📞 "&amp;Inventory[[#This Row],[Product Name]]&amp;" Need to re-order! PH " &amp; VLOOKUP(Inventory[[#This Row],[HSN Code]],vendorsdata[#All],4,0),""),"")</calculatedColumnFormula>
    </tableColumn>
  </tableColumns>
  <tableStyleInfo name="TableStyleMedium1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E879024-BB15-4B94-B7CA-65E7AE36966D}" name="vendorsdata" displayName="vendorsdata" ref="D4:H18" totalsRowShown="0" headerRowDxfId="32" dataDxfId="31">
  <autoFilter ref="D4:H18" xr:uid="{4E879024-BB15-4B94-B7CA-65E7AE36966D}"/>
  <tableColumns count="5">
    <tableColumn id="1" xr3:uid="{41981196-340F-4136-BD73-38D8E4CAACE4}" name="HSN Code" dataDxfId="30"/>
    <tableColumn id="2" xr3:uid="{CB815C65-16F7-4780-B6B1-E317D247AC09}" name="Product Name" dataDxfId="29">
      <calculatedColumnFormula>IFERROR(VLOOKUP(vendorsdata[[#This Row],[HSN Code]],product[#All],2,0),"")</calculatedColumnFormula>
    </tableColumn>
    <tableColumn id="3" xr3:uid="{C054086D-F975-4F88-B339-9463568B5FB7}" name="Vendor Name" dataDxfId="28"/>
    <tableColumn id="4" xr3:uid="{58CAB3C6-4319-4A96-B5E7-A85F12B5A838}" name="Phone" dataDxfId="27"/>
    <tableColumn id="5" xr3:uid="{9E90F4AF-7E6C-46FA-95AE-E47B11BB5258}" name="Address" dataDxfId="26"/>
  </tableColumns>
  <tableStyleInfo name="TableStyleMedium1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3C2EA9F-6692-40AC-9346-77A0A89961C8}" name="sales" displayName="sales" ref="D4:O26" totalsRowShown="0" headerRowDxfId="25" dataDxfId="24">
  <autoFilter ref="D4:O26" xr:uid="{63C2EA9F-6692-40AC-9346-77A0A89961C8}"/>
  <tableColumns count="12">
    <tableColumn id="1" xr3:uid="{C531FC3E-E2A6-4FC4-8176-67B384E6C870}" name="Cust_ID" dataDxfId="23" totalsRowDxfId="22"/>
    <tableColumn id="2" xr3:uid="{A038DE78-8250-4406-B684-EDD316E7DA8F}" name="Cust_Name" dataDxfId="21" totalsRowDxfId="20">
      <calculatedColumnFormula>IFERROR(VLOOKUP(sales[[#This Row],[Cust_ID]],customersdata[#All],2,0),"")</calculatedColumnFormula>
    </tableColumn>
    <tableColumn id="3" xr3:uid="{F1E518DB-6B31-4A83-BB01-F4CD07BCBF1B}" name="HSN Code" dataDxfId="19" totalsRowDxfId="18"/>
    <tableColumn id="4" xr3:uid="{6A9F8289-E112-4AC9-910C-D1CBA5E6F76B}" name="Product Name" dataDxfId="17" totalsRowDxfId="16">
      <calculatedColumnFormula>IFERROR(VLOOKUP(sales[[#This Row],[HSN Code]],product[#All],2,0),"")</calculatedColumnFormula>
    </tableColumn>
    <tableColumn id="5" xr3:uid="{5692D175-FA30-4ECF-A0B2-D47A9FE5410C}" name="Date" dataDxfId="15" totalsRowDxfId="14"/>
    <tableColumn id="11" xr3:uid="{FABB0A2F-53BE-4E6E-9CA8-239F830BE4DA}" name="Year" dataDxfId="13" totalsRowDxfId="12">
      <calculatedColumnFormula>TEXT(sales[[#This Row],[Date]],"yyy")</calculatedColumnFormula>
    </tableColumn>
    <tableColumn id="6" xr3:uid="{AEB75105-1F06-4440-B552-A624DEC70AF8}" name="Stock(Units)" dataDxfId="11" totalsRowDxfId="10">
      <calculatedColumnFormula>IFERROR(VLOOKUP(sales[[#This Row],[HSN Code]],Inventory[#All],6,0),"")</calculatedColumnFormula>
    </tableColumn>
    <tableColumn id="7" xr3:uid="{F60278C5-B96F-47FC-B965-7A6F3FBDCD19}" name="Units" dataDxfId="9" totalsRowDxfId="8"/>
    <tableColumn id="12" xr3:uid="{5C703BB2-46BC-457D-9F0E-701C8C9C3874}" name="Cost price" dataDxfId="7" totalsRowDxfId="6">
      <calculatedColumnFormula>VLOOKUP(sales[[#This Row],[HSN Code]],product[#All],3,0)</calculatedColumnFormula>
    </tableColumn>
    <tableColumn id="8" xr3:uid="{E4A9BADB-0E7A-4725-96F8-AC5EA0D4351D}" name="Selling Price" dataDxfId="5" totalsRowDxfId="4">
      <calculatedColumnFormula>IFERROR(VLOOKUP(sales[[#This Row],[HSN Code]],product[#All],4,0),"")</calculatedColumnFormula>
    </tableColumn>
    <tableColumn id="9" xr3:uid="{4B47E628-DB21-4531-A1CE-D8BF2C83155E}" name="Sales Amount" dataDxfId="3" totalsRowDxfId="2">
      <calculatedColumnFormula>IFERROR(sales[[#This Row],[Units]]*sales[[#This Row],[Selling Price]],"")</calculatedColumnFormula>
    </tableColumn>
    <tableColumn id="10" xr3:uid="{3911E2D1-C9DC-4106-87B2-9361908D7265}" name="Purchse amount" dataDxfId="1" totalsRowDxfId="0">
      <calculatedColumnFormula>IFERROR(sales[[#This Row],[Units]]*sales[[#This Row],[Cost price]],"")</calculatedColumnFormula>
    </tableColumn>
  </tableColumns>
  <tableStyleInfo name="TableStyleMedium15"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775843E-DE41-48D7-8450-315E0572DB85}">
  <we:reference id="wa200005502" version="1.0.0.11" store="en-US" storeType="omex"/>
  <we:alternateReferences>
    <we:reference id="wa200005502" version="1.0.0.11" store="en-US" storeType="omex"/>
  </we:alternateReferences>
  <we:properties>
    <we:property name="docId" value="&quot;thtKgy6WeNPo-gv9zBK3g&quot;"/>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1.bin"/><Relationship Id="rId7" Type="http://schemas.openxmlformats.org/officeDocument/2006/relationships/table" Target="../tables/table1.xml"/><Relationship Id="rId2" Type="http://schemas.openxmlformats.org/officeDocument/2006/relationships/hyperlink" Target="mailto:kidckj@jff" TargetMode="External"/><Relationship Id="rId1" Type="http://schemas.openxmlformats.org/officeDocument/2006/relationships/hyperlink" Target="mailto:om23@gmail.com" TargetMode="External"/><Relationship Id="rId6" Type="http://schemas.openxmlformats.org/officeDocument/2006/relationships/ctrlProp" Target="../ctrlProps/ctrlProp2.xml"/><Relationship Id="rId5" Type="http://schemas.openxmlformats.org/officeDocument/2006/relationships/vmlDrawing" Target="../drawings/vmlDrawing2.vml"/><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microsoft.com/office/2007/relationships/slicer" Target="../slicers/slicer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table" Target="../tables/table2.xml"/><Relationship Id="rId5" Type="http://schemas.openxmlformats.org/officeDocument/2006/relationships/pivotTable" Target="../pivotTables/pivotTable5.xml"/><Relationship Id="rId10" Type="http://schemas.openxmlformats.org/officeDocument/2006/relationships/drawing" Target="../drawings/drawing3.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8412FE-58EE-4B44-AEF5-8AE395C03C76}">
  <sheetPr codeName="Sheet1"/>
  <dimension ref="J1:P29"/>
  <sheetViews>
    <sheetView tabSelected="1" zoomScaleNormal="100" workbookViewId="0">
      <selection activeCell="T27" sqref="T27"/>
    </sheetView>
  </sheetViews>
  <sheetFormatPr defaultColWidth="8.88671875" defaultRowHeight="14.4" x14ac:dyDescent="0.3"/>
  <cols>
    <col min="1" max="1" width="4.88671875" style="33" customWidth="1"/>
    <col min="2" max="2" width="25" style="33" customWidth="1"/>
    <col min="3" max="3" width="5" style="33" customWidth="1"/>
    <col min="4" max="16384" width="8.88671875" style="33"/>
  </cols>
  <sheetData>
    <row r="1" ht="10.199999999999999" customHeight="1" x14ac:dyDescent="0.3"/>
    <row r="2" ht="38.4" customHeight="1" x14ac:dyDescent="0.3"/>
    <row r="21" spans="10:16" x14ac:dyDescent="0.3">
      <c r="J21" s="35" t="s">
        <v>164</v>
      </c>
      <c r="K21" s="35"/>
      <c r="L21" s="35"/>
      <c r="M21" s="35"/>
      <c r="N21" s="35"/>
      <c r="O21" s="35"/>
      <c r="P21" s="35"/>
    </row>
    <row r="22" spans="10:16" x14ac:dyDescent="0.3">
      <c r="J22" s="35"/>
      <c r="K22" s="35"/>
      <c r="L22" s="35"/>
      <c r="M22" s="35"/>
      <c r="N22" s="35"/>
      <c r="O22" s="35"/>
      <c r="P22" s="35"/>
    </row>
    <row r="23" spans="10:16" ht="15.6" x14ac:dyDescent="0.3">
      <c r="J23" s="34" t="str" cm="1">
        <f t="array" ref="J23">IFERROR(INDEX(Inventory[notifications], SMALL(IF(Inventory[notifications]&lt;&gt;"", ROW(Inventory[notifications])-ROW(Inventory[#Headers])), ROW(A1))), "")</f>
        <v>📞 Wireless Printer Need to re-order! PH 9812xxxxxx</v>
      </c>
      <c r="K23" s="34"/>
      <c r="L23" s="34"/>
      <c r="M23" s="34"/>
      <c r="N23" s="34"/>
      <c r="O23" s="34"/>
      <c r="P23" s="34"/>
    </row>
    <row r="24" spans="10:16" ht="15.6" x14ac:dyDescent="0.3">
      <c r="J24" s="34" t="str" cm="1">
        <f t="array" ref="J24">IFERROR(INDEX(Inventory[notifications], SMALL(IF(Inventory[notifications]&lt;&gt;"", ROW(Inventory[notifications])-ROW(Inventory[#Headers])), ROW(A2))), "")</f>
        <v>📞 Camera Need to re-order! PH 9813xxxxxx</v>
      </c>
      <c r="K24" s="34"/>
      <c r="L24" s="34"/>
      <c r="M24" s="34"/>
      <c r="N24" s="34"/>
      <c r="O24" s="34"/>
      <c r="P24" s="34"/>
    </row>
    <row r="25" spans="10:16" ht="15.6" x14ac:dyDescent="0.3">
      <c r="J25" s="34" t="str" cm="1">
        <f t="array" ref="J25">IFERROR(INDEX(Inventory[notifications], SMALL(IF(Inventory[notifications]&lt;&gt;"", ROW(Inventory[notifications])-ROW(Inventory[#Headers])), ROW(A3))), "")</f>
        <v/>
      </c>
      <c r="K25" s="34"/>
      <c r="L25" s="34"/>
      <c r="M25" s="34"/>
      <c r="N25" s="34" t="s">
        <v>0</v>
      </c>
      <c r="O25" s="34"/>
      <c r="P25" s="34"/>
    </row>
    <row r="26" spans="10:16" ht="15.6" x14ac:dyDescent="0.3">
      <c r="J26" s="34" t="str" cm="1">
        <f t="array" ref="J26">IFERROR(INDEX(Inventory[notifications], SMALL(IF(Inventory[notifications]&lt;&gt;"", ROW(Inventory[notifications])-ROW(Inventory[#Headers])), ROW(A4))), "")</f>
        <v/>
      </c>
      <c r="K26" s="34"/>
      <c r="L26" s="34"/>
      <c r="M26" s="34"/>
      <c r="N26" s="34"/>
      <c r="O26" s="34"/>
      <c r="P26" s="34"/>
    </row>
    <row r="27" spans="10:16" ht="15.6" x14ac:dyDescent="0.3">
      <c r="J27" s="34" t="str" cm="1">
        <f t="array" ref="J27">IFERROR(INDEX(Inventory[notifications], SMALL(IF(Inventory[notifications]&lt;&gt;"", ROW(Inventory[notifications])-ROW(Inventory[#Headers])), ROW(A5))), "")</f>
        <v/>
      </c>
      <c r="K27" s="34"/>
      <c r="L27" s="34"/>
      <c r="M27" s="34"/>
      <c r="N27" s="34"/>
      <c r="O27" s="34"/>
      <c r="P27" s="34"/>
    </row>
    <row r="28" spans="10:16" ht="15.6" x14ac:dyDescent="0.3">
      <c r="J28" s="34"/>
      <c r="K28" s="34"/>
      <c r="L28" s="34"/>
      <c r="M28" s="34"/>
      <c r="N28" s="34"/>
      <c r="O28" s="34"/>
      <c r="P28" s="34"/>
    </row>
    <row r="29" spans="10:16" ht="15.6" x14ac:dyDescent="0.3">
      <c r="J29" s="34"/>
      <c r="K29" s="34"/>
      <c r="L29" s="34"/>
      <c r="M29" s="34"/>
      <c r="N29" s="34"/>
      <c r="O29" s="34"/>
      <c r="P29" s="34"/>
    </row>
  </sheetData>
  <mergeCells count="1">
    <mergeCell ref="J21:P2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7" r:id="rId3" name="Button 3">
              <controlPr defaultSize="0" print="0" autoFill="0" autoPict="0" macro="[0]!ShowProductListTemporary">
                <anchor moveWithCells="1" sizeWithCells="1">
                  <from>
                    <xdr:col>8</xdr:col>
                    <xdr:colOff>510540</xdr:colOff>
                    <xdr:row>27</xdr:row>
                    <xdr:rowOff>68580</xdr:rowOff>
                  </from>
                  <to>
                    <xdr:col>10</xdr:col>
                    <xdr:colOff>312420</xdr:colOff>
                    <xdr:row>29</xdr:row>
                    <xdr:rowOff>114300</xdr:rowOff>
                  </to>
                </anchor>
              </controlPr>
            </control>
          </mc:Choice>
        </mc:AlternateContent>
      </controls>
    </mc:Choice>
  </mc:AlternateContent>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D22920-C403-4680-A126-950F0DB22033}">
  <sheetPr codeName="Sheet3"/>
  <dimension ref="D1:J18"/>
  <sheetViews>
    <sheetView showGridLines="0" workbookViewId="0">
      <selection activeCell="K9" sqref="K9"/>
    </sheetView>
  </sheetViews>
  <sheetFormatPr defaultColWidth="8.88671875" defaultRowHeight="21" x14ac:dyDescent="0.4"/>
  <cols>
    <col min="1" max="1" width="4.88671875" style="3" customWidth="1"/>
    <col min="2" max="2" width="25" style="3" customWidth="1"/>
    <col min="3" max="3" width="5" style="3" customWidth="1"/>
    <col min="4" max="4" width="12.88671875" style="3" bestFit="1" customWidth="1"/>
    <col min="5" max="5" width="18.109375" style="3" bestFit="1" customWidth="1"/>
    <col min="6" max="6" width="22.44140625" style="5" bestFit="1" customWidth="1"/>
    <col min="7" max="7" width="25.33203125" style="3" bestFit="1" customWidth="1"/>
    <col min="8" max="8" width="16.88671875" style="3" bestFit="1" customWidth="1"/>
    <col min="9" max="16384" width="8.88671875" style="3"/>
  </cols>
  <sheetData>
    <row r="1" spans="4:10" ht="10.199999999999999" customHeight="1" x14ac:dyDescent="0.3">
      <c r="F1" s="3"/>
    </row>
    <row r="2" spans="4:10" ht="38.4" customHeight="1" x14ac:dyDescent="0.3">
      <c r="F2" s="3"/>
    </row>
    <row r="3" spans="4:10" ht="14.4" x14ac:dyDescent="0.3">
      <c r="F3" s="3"/>
    </row>
    <row r="4" spans="4:10" x14ac:dyDescent="0.3">
      <c r="D4" s="14" t="s">
        <v>1</v>
      </c>
      <c r="E4" s="15" t="s">
        <v>2</v>
      </c>
      <c r="F4" s="15" t="s">
        <v>3</v>
      </c>
      <c r="G4" s="15" t="s">
        <v>4</v>
      </c>
      <c r="H4" s="15" t="s">
        <v>5</v>
      </c>
    </row>
    <row r="5" spans="4:10" x14ac:dyDescent="0.3">
      <c r="D5" s="16">
        <v>100</v>
      </c>
      <c r="E5" s="8" t="s">
        <v>6</v>
      </c>
      <c r="F5" s="8" t="s">
        <v>7</v>
      </c>
      <c r="G5" s="8" t="s">
        <v>8</v>
      </c>
      <c r="H5" s="8">
        <v>980066</v>
      </c>
    </row>
    <row r="6" spans="4:10" x14ac:dyDescent="0.3">
      <c r="D6" s="16">
        <v>102</v>
      </c>
      <c r="E6" s="8" t="s">
        <v>9</v>
      </c>
      <c r="F6" s="8" t="s">
        <v>10</v>
      </c>
      <c r="G6" s="8" t="s">
        <v>11</v>
      </c>
      <c r="H6" s="8">
        <v>932498</v>
      </c>
    </row>
    <row r="7" spans="4:10" x14ac:dyDescent="0.3">
      <c r="D7" s="16">
        <v>103</v>
      </c>
      <c r="E7" s="8" t="s">
        <v>12</v>
      </c>
      <c r="F7" s="8" t="s">
        <v>13</v>
      </c>
      <c r="G7" s="8" t="s">
        <v>14</v>
      </c>
      <c r="H7" s="8">
        <v>342394823</v>
      </c>
    </row>
    <row r="8" spans="4:10" x14ac:dyDescent="0.3">
      <c r="D8" s="16">
        <v>104</v>
      </c>
      <c r="E8" s="8" t="s">
        <v>15</v>
      </c>
      <c r="F8" s="8" t="s">
        <v>16</v>
      </c>
      <c r="G8" s="8" t="s">
        <v>17</v>
      </c>
      <c r="H8" s="8">
        <v>3423423</v>
      </c>
    </row>
    <row r="9" spans="4:10" x14ac:dyDescent="0.3">
      <c r="D9" s="16">
        <v>105</v>
      </c>
      <c r="E9" s="8" t="s">
        <v>18</v>
      </c>
      <c r="F9" s="8" t="s">
        <v>19</v>
      </c>
      <c r="G9" s="8" t="s">
        <v>20</v>
      </c>
      <c r="H9" s="8">
        <v>43342</v>
      </c>
    </row>
    <row r="10" spans="4:10" x14ac:dyDescent="0.3">
      <c r="D10" s="16">
        <v>106</v>
      </c>
      <c r="E10" s="8" t="s">
        <v>21</v>
      </c>
      <c r="F10" s="8" t="s">
        <v>22</v>
      </c>
      <c r="G10" s="8" t="s">
        <v>23</v>
      </c>
      <c r="H10" s="8">
        <v>2414432</v>
      </c>
    </row>
    <row r="11" spans="4:10" ht="42" x14ac:dyDescent="0.3">
      <c r="D11" s="16">
        <v>1011</v>
      </c>
      <c r="E11" s="8" t="s">
        <v>24</v>
      </c>
      <c r="F11" s="8" t="s">
        <v>25</v>
      </c>
      <c r="G11" s="8" t="s">
        <v>26</v>
      </c>
      <c r="H11" s="8">
        <v>24123</v>
      </c>
      <c r="J11" s="3" t="e">
        <f ca="1">OFFSET(customersdata[[#Headers],[Cust_ID]],0,0,COUNTA($D$4:$D$1048576),COUNTA($D$4:$XFD$4))</f>
        <v>#VALUE!</v>
      </c>
    </row>
    <row r="12" spans="4:10" x14ac:dyDescent="0.3">
      <c r="D12" s="16">
        <v>93</v>
      </c>
      <c r="E12" s="8" t="s">
        <v>27</v>
      </c>
      <c r="F12" s="8" t="s">
        <v>28</v>
      </c>
      <c r="G12" s="8" t="s">
        <v>29</v>
      </c>
      <c r="H12" s="8">
        <v>9800665470</v>
      </c>
    </row>
    <row r="13" spans="4:10" x14ac:dyDescent="0.3">
      <c r="D13" s="16">
        <v>43</v>
      </c>
      <c r="E13" s="8" t="s">
        <v>30</v>
      </c>
      <c r="F13" s="8" t="s">
        <v>31</v>
      </c>
      <c r="G13" s="8" t="s">
        <v>32</v>
      </c>
      <c r="H13" s="8">
        <v>9800665470</v>
      </c>
    </row>
    <row r="14" spans="4:10" x14ac:dyDescent="0.3">
      <c r="D14" s="16">
        <v>1001</v>
      </c>
      <c r="E14" s="8" t="s">
        <v>33</v>
      </c>
      <c r="F14" s="8" t="s">
        <v>34</v>
      </c>
      <c r="G14" s="8" t="s">
        <v>35</v>
      </c>
      <c r="H14" s="8">
        <v>7977728693</v>
      </c>
    </row>
    <row r="15" spans="4:10" ht="42" x14ac:dyDescent="0.3">
      <c r="D15" s="16">
        <v>303</v>
      </c>
      <c r="E15" s="8" t="s">
        <v>36</v>
      </c>
      <c r="F15" s="8" t="s">
        <v>37</v>
      </c>
      <c r="G15" s="8" t="s">
        <v>38</v>
      </c>
      <c r="H15" s="8">
        <v>9798745434</v>
      </c>
    </row>
    <row r="16" spans="4:10" ht="42" x14ac:dyDescent="0.3">
      <c r="D16" s="16">
        <v>304</v>
      </c>
      <c r="E16" s="8" t="s">
        <v>39</v>
      </c>
      <c r="F16" s="17" t="s">
        <v>40</v>
      </c>
      <c r="G16" s="8" t="s">
        <v>41</v>
      </c>
      <c r="H16" s="8">
        <v>9800667745</v>
      </c>
    </row>
    <row r="17" spans="4:8" ht="42" x14ac:dyDescent="0.3">
      <c r="D17" s="16">
        <v>1022</v>
      </c>
      <c r="E17" s="8" t="s">
        <v>24</v>
      </c>
      <c r="F17" s="8" t="s">
        <v>42</v>
      </c>
      <c r="G17" s="8" t="s">
        <v>43</v>
      </c>
      <c r="H17" s="8">
        <v>9800675432</v>
      </c>
    </row>
    <row r="18" spans="4:8" x14ac:dyDescent="0.3">
      <c r="D18" s="16">
        <v>3434</v>
      </c>
      <c r="E18" s="8" t="s">
        <v>44</v>
      </c>
      <c r="F18" s="17" t="s">
        <v>45</v>
      </c>
      <c r="G18" s="8" t="s">
        <v>46</v>
      </c>
      <c r="H18" s="8" t="s">
        <v>47</v>
      </c>
    </row>
  </sheetData>
  <hyperlinks>
    <hyperlink ref="F16" r:id="rId1" xr:uid="{39C52A6D-9DEA-467D-A27D-34E88260288D}"/>
    <hyperlink ref="F18" r:id="rId2" xr:uid="{0DE51CDF-C8F0-4326-AB71-A4D948632485}"/>
  </hyperlink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2052" r:id="rId6" name="Button 4">
              <controlPr defaultSize="0" print="0" autoFill="0" autoPict="0" macro="[0]!ShowForm">
                <anchor>
                  <from>
                    <xdr:col>9</xdr:col>
                    <xdr:colOff>68580</xdr:colOff>
                    <xdr:row>5</xdr:row>
                    <xdr:rowOff>144780</xdr:rowOff>
                  </from>
                  <to>
                    <xdr:col>11</xdr:col>
                    <xdr:colOff>53340</xdr:colOff>
                    <xdr:row>7</xdr:row>
                    <xdr:rowOff>0</xdr:rowOff>
                  </to>
                </anchor>
              </controlPr>
            </control>
          </mc:Choice>
        </mc:AlternateContent>
      </controls>
    </mc:Choice>
  </mc:AlternateContent>
  <tableParts count="1">
    <tablePart r:id="rId7"/>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55BA66-0079-416F-AE88-B357D07940D4}">
  <sheetPr codeName="Sheet2"/>
  <dimension ref="A2:Q55"/>
  <sheetViews>
    <sheetView topLeftCell="P1" zoomScale="89" zoomScaleNormal="102" workbookViewId="0">
      <selection activeCell="X11" sqref="X11"/>
    </sheetView>
  </sheetViews>
  <sheetFormatPr defaultRowHeight="14.4" x14ac:dyDescent="0.3"/>
  <cols>
    <col min="1" max="1" width="14.33203125" bestFit="1" customWidth="1"/>
    <col min="2" max="2" width="21.6640625" bestFit="1" customWidth="1"/>
    <col min="3" max="3" width="19.33203125" bestFit="1" customWidth="1"/>
    <col min="4" max="4" width="22.109375" bestFit="1" customWidth="1"/>
    <col min="5" max="5" width="19.88671875" bestFit="1" customWidth="1"/>
    <col min="6" max="6" width="12.88671875" bestFit="1" customWidth="1"/>
    <col min="7" max="7" width="19.33203125" bestFit="1" customWidth="1"/>
    <col min="8" max="8" width="25" bestFit="1" customWidth="1"/>
    <col min="9" max="9" width="22.6640625" bestFit="1" customWidth="1"/>
    <col min="10" max="10" width="14.33203125" bestFit="1" customWidth="1"/>
    <col min="11" max="11" width="19.33203125" bestFit="1" customWidth="1"/>
    <col min="12" max="12" width="12.5546875" bestFit="1" customWidth="1"/>
    <col min="13" max="13" width="14.44140625" bestFit="1" customWidth="1"/>
    <col min="14" max="14" width="12.88671875" bestFit="1" customWidth="1"/>
    <col min="15" max="15" width="15.88671875" bestFit="1" customWidth="1"/>
    <col min="16" max="16" width="15.21875" bestFit="1" customWidth="1"/>
    <col min="17" max="17" width="16.88671875" bestFit="1" customWidth="1"/>
    <col min="18" max="18" width="14.33203125" bestFit="1" customWidth="1"/>
    <col min="19" max="19" width="19.33203125" bestFit="1" customWidth="1"/>
    <col min="20" max="20" width="21.5546875" bestFit="1" customWidth="1"/>
  </cols>
  <sheetData>
    <row r="2" spans="1:14" x14ac:dyDescent="0.3">
      <c r="A2" t="s">
        <v>48</v>
      </c>
      <c r="J2" t="s">
        <v>49</v>
      </c>
      <c r="M2" t="s">
        <v>50</v>
      </c>
    </row>
    <row r="3" spans="1:14" x14ac:dyDescent="0.3">
      <c r="A3" t="s">
        <v>51</v>
      </c>
      <c r="C3" t="s">
        <v>52</v>
      </c>
      <c r="N3" s="1" t="s">
        <v>53</v>
      </c>
    </row>
    <row r="4" spans="1:14" x14ac:dyDescent="0.3">
      <c r="A4">
        <v>14</v>
      </c>
      <c r="C4">
        <f>GETPIVOTDATA("Name",$A$3)</f>
        <v>14</v>
      </c>
      <c r="N4" s="2" t="s">
        <v>54</v>
      </c>
    </row>
    <row r="5" spans="1:14" x14ac:dyDescent="0.3">
      <c r="N5" s="2" t="s">
        <v>55</v>
      </c>
    </row>
    <row r="6" spans="1:14" x14ac:dyDescent="0.3">
      <c r="N6" s="2" t="s">
        <v>56</v>
      </c>
    </row>
    <row r="7" spans="1:14" x14ac:dyDescent="0.3">
      <c r="A7" t="s">
        <v>57</v>
      </c>
    </row>
    <row r="8" spans="1:14" x14ac:dyDescent="0.3">
      <c r="A8" t="s">
        <v>58</v>
      </c>
      <c r="C8" t="s">
        <v>59</v>
      </c>
    </row>
    <row r="9" spans="1:14" x14ac:dyDescent="0.3">
      <c r="A9">
        <v>13</v>
      </c>
      <c r="C9">
        <f>GETPIVOTDATA("Product Name",$A$8)</f>
        <v>13</v>
      </c>
    </row>
    <row r="11" spans="1:14" x14ac:dyDescent="0.3">
      <c r="A11" t="s">
        <v>60</v>
      </c>
    </row>
    <row r="12" spans="1:14" x14ac:dyDescent="0.3">
      <c r="A12" t="s">
        <v>61</v>
      </c>
      <c r="C12" t="s">
        <v>62</v>
      </c>
    </row>
    <row r="13" spans="1:14" x14ac:dyDescent="0.3">
      <c r="A13">
        <v>6472909</v>
      </c>
      <c r="C13">
        <f>GETPIVOTDATA("Amount",$A$12)</f>
        <v>6472909</v>
      </c>
    </row>
    <row r="16" spans="1:14" x14ac:dyDescent="0.3">
      <c r="C16" t="s">
        <v>63</v>
      </c>
      <c r="F16" t="s">
        <v>64</v>
      </c>
    </row>
    <row r="17" spans="3:17" x14ac:dyDescent="0.3">
      <c r="C17">
        <f ca="1">SUM(D34)</f>
        <v>3106965.1999999993</v>
      </c>
      <c r="F17" s="1" t="s">
        <v>53</v>
      </c>
      <c r="G17" t="s">
        <v>65</v>
      </c>
    </row>
    <row r="18" spans="3:17" x14ac:dyDescent="0.3">
      <c r="F18" s="2" t="s">
        <v>9</v>
      </c>
      <c r="G18">
        <v>1363608</v>
      </c>
    </row>
    <row r="19" spans="3:17" x14ac:dyDescent="0.3">
      <c r="F19" s="2" t="s">
        <v>24</v>
      </c>
      <c r="G19">
        <v>2015815.2</v>
      </c>
      <c r="J19" t="s">
        <v>66</v>
      </c>
    </row>
    <row r="20" spans="3:17" x14ac:dyDescent="0.3">
      <c r="F20" s="2" t="s">
        <v>21</v>
      </c>
      <c r="G20">
        <v>2823392</v>
      </c>
    </row>
    <row r="21" spans="3:17" x14ac:dyDescent="0.3">
      <c r="F21" s="2" t="s">
        <v>36</v>
      </c>
      <c r="G21">
        <v>5092200</v>
      </c>
    </row>
    <row r="22" spans="3:17" x14ac:dyDescent="0.3">
      <c r="F22" s="2" t="s">
        <v>44</v>
      </c>
      <c r="G22">
        <v>5116800</v>
      </c>
      <c r="J22" s="1" t="s">
        <v>53</v>
      </c>
      <c r="K22" t="s">
        <v>65</v>
      </c>
    </row>
    <row r="23" spans="3:17" x14ac:dyDescent="0.3">
      <c r="F23" s="2" t="s">
        <v>56</v>
      </c>
      <c r="G23">
        <v>16411815.199999999</v>
      </c>
      <c r="J23" s="2" t="s">
        <v>67</v>
      </c>
      <c r="K23">
        <v>8280000</v>
      </c>
    </row>
    <row r="24" spans="3:17" x14ac:dyDescent="0.3">
      <c r="J24" s="2" t="s">
        <v>68</v>
      </c>
      <c r="K24">
        <v>7800000</v>
      </c>
      <c r="Q24">
        <f ca="1">SUM(OFFSET($Q$25, 0, 0, COUNTA(Q26:Q40)-1, 1))</f>
        <v>26278566</v>
      </c>
    </row>
    <row r="25" spans="3:17" x14ac:dyDescent="0.3">
      <c r="J25" s="2" t="s">
        <v>69</v>
      </c>
      <c r="K25">
        <v>1804800</v>
      </c>
      <c r="O25" s="1" t="s">
        <v>70</v>
      </c>
      <c r="P25" t="s">
        <v>71</v>
      </c>
      <c r="Q25" t="s">
        <v>72</v>
      </c>
    </row>
    <row r="26" spans="3:17" x14ac:dyDescent="0.3">
      <c r="J26" s="2" t="s">
        <v>73</v>
      </c>
      <c r="K26">
        <v>252000</v>
      </c>
      <c r="O26" s="2" t="s">
        <v>68</v>
      </c>
      <c r="P26" s="36">
        <v>-115</v>
      </c>
      <c r="Q26" s="36">
        <v>-5980000</v>
      </c>
    </row>
    <row r="27" spans="3:17" x14ac:dyDescent="0.3">
      <c r="J27" s="2" t="s">
        <v>5</v>
      </c>
      <c r="K27">
        <v>240000</v>
      </c>
      <c r="O27" s="2" t="s">
        <v>73</v>
      </c>
      <c r="P27" s="36">
        <v>598</v>
      </c>
      <c r="Q27" s="36">
        <v>12558000</v>
      </c>
    </row>
    <row r="28" spans="3:17" x14ac:dyDescent="0.3">
      <c r="J28" s="2" t="s">
        <v>56</v>
      </c>
      <c r="K28">
        <v>18376800</v>
      </c>
      <c r="O28" s="2" t="s">
        <v>74</v>
      </c>
      <c r="P28" s="36">
        <v>605</v>
      </c>
      <c r="Q28" s="36">
        <v>242000</v>
      </c>
    </row>
    <row r="29" spans="3:17" x14ac:dyDescent="0.3">
      <c r="O29" s="2" t="s">
        <v>75</v>
      </c>
      <c r="P29" s="36">
        <v>392</v>
      </c>
      <c r="Q29" s="36">
        <v>313208</v>
      </c>
    </row>
    <row r="30" spans="3:17" x14ac:dyDescent="0.3">
      <c r="O30" s="2" t="s">
        <v>67</v>
      </c>
      <c r="P30" s="36">
        <v>331</v>
      </c>
      <c r="Q30" s="36">
        <v>11419500</v>
      </c>
    </row>
    <row r="31" spans="3:17" x14ac:dyDescent="0.3">
      <c r="O31" s="2" t="s">
        <v>76</v>
      </c>
      <c r="P31" s="36">
        <v>1254</v>
      </c>
      <c r="Q31" s="36">
        <v>438900</v>
      </c>
    </row>
    <row r="32" spans="3:17" x14ac:dyDescent="0.3">
      <c r="O32" s="2" t="s">
        <v>77</v>
      </c>
      <c r="P32" s="36">
        <v>504</v>
      </c>
      <c r="Q32" s="36">
        <v>171360</v>
      </c>
    </row>
    <row r="33" spans="1:17" x14ac:dyDescent="0.3">
      <c r="D33" t="s">
        <v>78</v>
      </c>
      <c r="G33" t="s">
        <v>79</v>
      </c>
      <c r="O33" s="2" t="s">
        <v>80</v>
      </c>
      <c r="P33" s="36">
        <v>1109</v>
      </c>
      <c r="Q33" s="36">
        <v>1086820</v>
      </c>
    </row>
    <row r="34" spans="1:17" x14ac:dyDescent="0.3">
      <c r="B34">
        <f ca="1">SUM(OFFSET($B$35,0,0,COUNTA(B36:B49)-1,1))</f>
        <v>15514826</v>
      </c>
      <c r="C34" s="22">
        <f ca="1">SUM(OFFSET($C$35, 0, 0, COUNTA(C36:C49)-1, 1))</f>
        <v>18621791.199999999</v>
      </c>
      <c r="D34">
        <f ca="1">C34-B34</f>
        <v>3106965.1999999993</v>
      </c>
      <c r="O34" s="2" t="s">
        <v>81</v>
      </c>
      <c r="P34" s="36">
        <v>450</v>
      </c>
      <c r="Q34" s="36">
        <v>301500</v>
      </c>
    </row>
    <row r="35" spans="1:17" x14ac:dyDescent="0.3">
      <c r="A35" s="1" t="s">
        <v>53</v>
      </c>
      <c r="B35" t="s">
        <v>82</v>
      </c>
      <c r="C35" t="s">
        <v>65</v>
      </c>
      <c r="D35" t="s">
        <v>83</v>
      </c>
      <c r="E35" t="s">
        <v>84</v>
      </c>
      <c r="O35" s="2" t="s">
        <v>69</v>
      </c>
      <c r="P35" s="36">
        <v>236</v>
      </c>
      <c r="Q35" s="36">
        <v>5546000</v>
      </c>
    </row>
    <row r="36" spans="1:17" x14ac:dyDescent="0.3">
      <c r="A36" s="2" t="s">
        <v>68</v>
      </c>
      <c r="B36">
        <v>6500000</v>
      </c>
      <c r="C36">
        <v>7800000</v>
      </c>
      <c r="D36">
        <f t="shared" ref="D36:D48" ca="1" si="0">OFFSET(C36, 0, 0) - OFFSET(B36, 0, 0)</f>
        <v>1300000</v>
      </c>
      <c r="E36">
        <f ca="1">OFFSET($A$35, 1, 2, COUNTA($C$36:$C$55), 1)</f>
        <v>7800000</v>
      </c>
      <c r="O36" s="2" t="s">
        <v>85</v>
      </c>
      <c r="P36" s="36">
        <v>0</v>
      </c>
      <c r="Q36" s="36">
        <v>0</v>
      </c>
    </row>
    <row r="37" spans="1:17" x14ac:dyDescent="0.3">
      <c r="A37" s="2" t="s">
        <v>73</v>
      </c>
      <c r="B37">
        <v>210000</v>
      </c>
      <c r="C37">
        <v>252000</v>
      </c>
      <c r="D37">
        <f t="shared" ca="1" si="0"/>
        <v>42000</v>
      </c>
      <c r="E37">
        <f t="shared" ref="E37:E48" ca="1" si="1">OFFSET($A$35, 1, 2, COUNTA($C$36:$C$55), 1)</f>
        <v>252000</v>
      </c>
      <c r="O37" s="2" t="s">
        <v>86</v>
      </c>
      <c r="P37" s="36">
        <v>200</v>
      </c>
      <c r="Q37" s="36">
        <v>60000</v>
      </c>
    </row>
    <row r="38" spans="1:17" x14ac:dyDescent="0.3">
      <c r="A38" s="2" t="s">
        <v>75</v>
      </c>
      <c r="B38">
        <v>91086</v>
      </c>
      <c r="C38">
        <v>109303.2</v>
      </c>
      <c r="D38">
        <f t="shared" ca="1" si="0"/>
        <v>18217.199999999997</v>
      </c>
      <c r="E38">
        <f t="shared" ca="1" si="1"/>
        <v>109303.2</v>
      </c>
      <c r="O38" s="2" t="s">
        <v>87</v>
      </c>
      <c r="P38" s="36">
        <v>246</v>
      </c>
      <c r="Q38" s="36">
        <v>121278</v>
      </c>
    </row>
    <row r="39" spans="1:17" x14ac:dyDescent="0.3">
      <c r="A39" s="2" t="s">
        <v>67</v>
      </c>
      <c r="B39">
        <v>6900000</v>
      </c>
      <c r="C39">
        <v>8280000</v>
      </c>
      <c r="D39">
        <f t="shared" ca="1" si="0"/>
        <v>1380000</v>
      </c>
      <c r="E39">
        <f t="shared" ca="1" si="1"/>
        <v>8280000</v>
      </c>
      <c r="O39" s="2" t="s">
        <v>5</v>
      </c>
      <c r="P39" s="36">
        <v>280</v>
      </c>
      <c r="Q39" s="36">
        <v>2800000</v>
      </c>
    </row>
    <row r="40" spans="1:17" x14ac:dyDescent="0.3">
      <c r="A40" s="2" t="s">
        <v>76</v>
      </c>
      <c r="B40">
        <v>8600</v>
      </c>
      <c r="C40">
        <v>10320</v>
      </c>
      <c r="D40">
        <f t="shared" ca="1" si="0"/>
        <v>1720</v>
      </c>
      <c r="E40">
        <f t="shared" ca="1" si="1"/>
        <v>10320</v>
      </c>
      <c r="O40" s="2" t="s">
        <v>88</v>
      </c>
      <c r="P40" s="36">
        <v>580</v>
      </c>
      <c r="Q40" s="36">
        <v>580000</v>
      </c>
    </row>
    <row r="41" spans="1:17" x14ac:dyDescent="0.3">
      <c r="A41" s="2" t="s">
        <v>77</v>
      </c>
      <c r="B41">
        <v>18700</v>
      </c>
      <c r="C41">
        <v>22440</v>
      </c>
      <c r="D41">
        <f t="shared" ca="1" si="0"/>
        <v>3740</v>
      </c>
      <c r="E41">
        <f t="shared" ca="1" si="1"/>
        <v>22440</v>
      </c>
    </row>
    <row r="42" spans="1:17" x14ac:dyDescent="0.3">
      <c r="A42" s="2" t="s">
        <v>80</v>
      </c>
      <c r="B42">
        <v>198940</v>
      </c>
      <c r="C42">
        <v>238728</v>
      </c>
      <c r="D42">
        <f t="shared" ca="1" si="0"/>
        <v>39788</v>
      </c>
      <c r="E42">
        <f t="shared" ca="1" si="1"/>
        <v>238728</v>
      </c>
    </row>
    <row r="43" spans="1:17" x14ac:dyDescent="0.3">
      <c r="A43" s="2" t="s">
        <v>81</v>
      </c>
      <c r="B43">
        <v>33500</v>
      </c>
      <c r="C43">
        <v>40200</v>
      </c>
      <c r="D43">
        <f t="shared" ca="1" si="0"/>
        <v>6700</v>
      </c>
      <c r="E43">
        <f t="shared" ca="1" si="1"/>
        <v>40200</v>
      </c>
    </row>
    <row r="44" spans="1:17" x14ac:dyDescent="0.3">
      <c r="A44" s="2" t="s">
        <v>69</v>
      </c>
      <c r="B44">
        <v>1504000</v>
      </c>
      <c r="C44">
        <v>1804800</v>
      </c>
      <c r="D44">
        <f t="shared" ca="1" si="0"/>
        <v>300800</v>
      </c>
      <c r="E44">
        <f t="shared" ca="1" si="1"/>
        <v>1804800</v>
      </c>
    </row>
    <row r="45" spans="1:17" x14ac:dyDescent="0.3">
      <c r="A45" s="2" t="s">
        <v>89</v>
      </c>
      <c r="B45">
        <v>20000</v>
      </c>
      <c r="C45">
        <v>24000</v>
      </c>
      <c r="D45">
        <f t="shared" ca="1" si="0"/>
        <v>4000</v>
      </c>
      <c r="E45">
        <f t="shared" ca="1" si="1"/>
        <v>24000</v>
      </c>
    </row>
    <row r="46" spans="1:17" x14ac:dyDescent="0.3">
      <c r="A46" s="2" t="s">
        <v>86</v>
      </c>
      <c r="B46">
        <v>30000</v>
      </c>
      <c r="C46">
        <v>40000</v>
      </c>
      <c r="D46">
        <f t="shared" ca="1" si="0"/>
        <v>10000</v>
      </c>
      <c r="E46">
        <f t="shared" ca="1" si="1"/>
        <v>40000</v>
      </c>
      <c r="G46" s="1" t="s">
        <v>53</v>
      </c>
      <c r="H46" t="s">
        <v>90</v>
      </c>
      <c r="I46" t="s">
        <v>91</v>
      </c>
      <c r="J46" t="s">
        <v>92</v>
      </c>
    </row>
    <row r="47" spans="1:17" x14ac:dyDescent="0.3">
      <c r="A47" s="2" t="s">
        <v>87</v>
      </c>
      <c r="B47">
        <v>16762</v>
      </c>
      <c r="C47">
        <v>27200</v>
      </c>
      <c r="D47">
        <f t="shared" ca="1" si="0"/>
        <v>10438</v>
      </c>
      <c r="E47">
        <f t="shared" ca="1" si="1"/>
        <v>27200</v>
      </c>
      <c r="G47" s="2" t="s">
        <v>93</v>
      </c>
      <c r="H47" s="23">
        <v>77677.2</v>
      </c>
      <c r="I47" s="24">
        <v>93212.64</v>
      </c>
      <c r="J47" s="24">
        <f>I47:I54-H47:H54</f>
        <v>15535.440000000002</v>
      </c>
    </row>
    <row r="48" spans="1:17" x14ac:dyDescent="0.3">
      <c r="A48" s="2" t="s">
        <v>5</v>
      </c>
      <c r="B48">
        <v>200000</v>
      </c>
      <c r="C48">
        <v>240000</v>
      </c>
      <c r="D48">
        <f t="shared" ca="1" si="0"/>
        <v>40000</v>
      </c>
      <c r="E48">
        <f t="shared" ca="1" si="1"/>
        <v>240000</v>
      </c>
      <c r="G48" s="2" t="s">
        <v>94</v>
      </c>
      <c r="H48" s="23">
        <v>593546.66666666663</v>
      </c>
      <c r="I48" s="24">
        <v>712256</v>
      </c>
    </row>
    <row r="49" spans="7:9" x14ac:dyDescent="0.3">
      <c r="G49" s="2" t="s">
        <v>95</v>
      </c>
      <c r="H49" s="23">
        <v>4264000</v>
      </c>
      <c r="I49" s="24">
        <v>5116800</v>
      </c>
    </row>
    <row r="50" spans="7:9" x14ac:dyDescent="0.3">
      <c r="G50" s="2" t="s">
        <v>96</v>
      </c>
      <c r="H50" s="23">
        <v>8600</v>
      </c>
      <c r="I50" s="24">
        <v>10320</v>
      </c>
    </row>
    <row r="51" spans="7:9" x14ac:dyDescent="0.3">
      <c r="G51" s="2" t="s">
        <v>97</v>
      </c>
      <c r="H51" s="23">
        <v>32340</v>
      </c>
      <c r="I51" s="24">
        <v>38808</v>
      </c>
    </row>
    <row r="52" spans="7:9" x14ac:dyDescent="0.3">
      <c r="G52" s="2" t="s">
        <v>98</v>
      </c>
      <c r="H52" s="23">
        <v>1552666.6666666667</v>
      </c>
      <c r="I52" s="24">
        <v>1863200</v>
      </c>
    </row>
    <row r="53" spans="7:9" x14ac:dyDescent="0.3">
      <c r="G53" s="2" t="s">
        <v>99</v>
      </c>
      <c r="H53" s="23">
        <v>27773.333333333332</v>
      </c>
      <c r="I53" s="24">
        <v>34661.333333333336</v>
      </c>
    </row>
    <row r="54" spans="7:9" x14ac:dyDescent="0.3">
      <c r="G54" s="2" t="s">
        <v>100</v>
      </c>
      <c r="H54" s="23">
        <v>19651</v>
      </c>
      <c r="I54" s="24">
        <v>27124</v>
      </c>
    </row>
    <row r="55" spans="7:9" x14ac:dyDescent="0.3">
      <c r="G55" s="2" t="s">
        <v>101</v>
      </c>
      <c r="H55" s="23">
        <v>1492333.3333333333</v>
      </c>
      <c r="I55" s="24">
        <v>1790800</v>
      </c>
    </row>
  </sheetData>
  <pageMargins left="0.7" right="0.7" top="0.75" bottom="0.75" header="0.3" footer="0.3"/>
  <drawing r:id="rId10"/>
  <tableParts count="1">
    <tablePart r:id="rId11"/>
  </tableParts>
  <extLst>
    <ext xmlns:x14="http://schemas.microsoft.com/office/spreadsheetml/2009/9/main" uri="{A8765BA9-456A-4dab-B4F3-ACF838C121DE}">
      <x14:slicerList>
        <x14:slicer r:id="rId1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DEE0D3-4DE2-48CD-9775-06EA7FA92828}">
  <sheetPr codeName="Sheet4"/>
  <dimension ref="D1:J21"/>
  <sheetViews>
    <sheetView workbookViewId="0">
      <pane xSplit="3" ySplit="4" topLeftCell="D5" activePane="bottomRight" state="frozen"/>
      <selection pane="topRight" activeCell="D1" sqref="D1"/>
      <selection pane="bottomLeft" activeCell="A5" sqref="A5"/>
      <selection pane="bottomRight" activeCell="E30" sqref="E30"/>
    </sheetView>
  </sheetViews>
  <sheetFormatPr defaultColWidth="8.88671875" defaultRowHeight="14.4" x14ac:dyDescent="0.3"/>
  <cols>
    <col min="1" max="1" width="4.88671875" style="4" customWidth="1"/>
    <col min="2" max="2" width="25" style="4" customWidth="1"/>
    <col min="3" max="3" width="5" style="4" customWidth="1"/>
    <col min="4" max="4" width="15.88671875" style="4" bestFit="1" customWidth="1"/>
    <col min="5" max="5" width="21.44140625" style="4" bestFit="1" customWidth="1"/>
    <col min="6" max="6" width="13.44140625" style="4" bestFit="1" customWidth="1"/>
    <col min="7" max="7" width="18.6640625" style="4" bestFit="1" customWidth="1"/>
    <col min="8" max="16384" width="8.88671875" style="4"/>
  </cols>
  <sheetData>
    <row r="1" spans="4:10" ht="10.199999999999999" customHeight="1" x14ac:dyDescent="0.3"/>
    <row r="2" spans="4:10" ht="38.4" customHeight="1" x14ac:dyDescent="0.3"/>
    <row r="4" spans="4:10" ht="21" x14ac:dyDescent="0.3">
      <c r="D4" s="7" t="s">
        <v>102</v>
      </c>
      <c r="E4" s="7" t="s">
        <v>70</v>
      </c>
      <c r="F4" s="7" t="s">
        <v>103</v>
      </c>
      <c r="G4" s="7" t="s">
        <v>104</v>
      </c>
    </row>
    <row r="5" spans="4:10" ht="21" x14ac:dyDescent="0.3">
      <c r="D5" s="8" t="s">
        <v>105</v>
      </c>
      <c r="E5" s="8" t="s">
        <v>80</v>
      </c>
      <c r="F5" s="9">
        <v>980</v>
      </c>
      <c r="G5" s="9">
        <v>1176</v>
      </c>
    </row>
    <row r="6" spans="4:10" ht="21" x14ac:dyDescent="0.3">
      <c r="D6" s="8" t="s">
        <v>106</v>
      </c>
      <c r="E6" s="8" t="s">
        <v>67</v>
      </c>
      <c r="F6" s="9">
        <v>34500</v>
      </c>
      <c r="G6" s="9">
        <v>41400</v>
      </c>
    </row>
    <row r="7" spans="4:10" ht="21" x14ac:dyDescent="0.3">
      <c r="D7" s="8" t="s">
        <v>107</v>
      </c>
      <c r="E7" s="8" t="s">
        <v>85</v>
      </c>
      <c r="F7" s="9">
        <v>4600</v>
      </c>
      <c r="G7" s="9">
        <v>5020</v>
      </c>
    </row>
    <row r="8" spans="4:10" ht="21" x14ac:dyDescent="0.3">
      <c r="D8" s="8" t="s">
        <v>108</v>
      </c>
      <c r="E8" s="8" t="s">
        <v>73</v>
      </c>
      <c r="F8" s="9">
        <v>21000</v>
      </c>
      <c r="G8" s="9">
        <v>25200</v>
      </c>
    </row>
    <row r="9" spans="4:10" ht="21" x14ac:dyDescent="0.3">
      <c r="D9" s="8" t="s">
        <v>109</v>
      </c>
      <c r="E9" s="8" t="s">
        <v>76</v>
      </c>
      <c r="F9" s="9">
        <v>200</v>
      </c>
      <c r="G9" s="9">
        <v>240</v>
      </c>
    </row>
    <row r="10" spans="4:10" ht="21" x14ac:dyDescent="0.3">
      <c r="D10" s="8" t="s">
        <v>110</v>
      </c>
      <c r="E10" s="8" t="s">
        <v>77</v>
      </c>
      <c r="F10" s="9">
        <v>340</v>
      </c>
      <c r="G10" s="9">
        <v>408</v>
      </c>
    </row>
    <row r="11" spans="4:10" ht="21" x14ac:dyDescent="0.3">
      <c r="D11" s="8" t="s">
        <v>111</v>
      </c>
      <c r="E11" s="8" t="s">
        <v>68</v>
      </c>
      <c r="F11" s="9">
        <v>52000</v>
      </c>
      <c r="G11" s="9">
        <v>62400</v>
      </c>
    </row>
    <row r="12" spans="4:10" ht="21" x14ac:dyDescent="0.3">
      <c r="D12" s="8" t="s">
        <v>112</v>
      </c>
      <c r="E12" s="8" t="s">
        <v>75</v>
      </c>
      <c r="F12" s="9">
        <v>799</v>
      </c>
      <c r="G12" s="9">
        <v>958.8</v>
      </c>
    </row>
    <row r="13" spans="4:10" ht="21" x14ac:dyDescent="0.3">
      <c r="D13" s="8" t="s">
        <v>113</v>
      </c>
      <c r="E13" s="8" t="s">
        <v>81</v>
      </c>
      <c r="F13" s="9">
        <v>670</v>
      </c>
      <c r="G13" s="9">
        <v>804</v>
      </c>
    </row>
    <row r="14" spans="4:10" ht="21" x14ac:dyDescent="0.3">
      <c r="D14" s="8" t="s">
        <v>114</v>
      </c>
      <c r="E14" s="8" t="s">
        <v>69</v>
      </c>
      <c r="F14" s="9">
        <v>23500</v>
      </c>
      <c r="G14" s="9">
        <v>28200</v>
      </c>
    </row>
    <row r="15" spans="4:10" ht="21" x14ac:dyDescent="0.3">
      <c r="D15" s="8" t="s">
        <v>115</v>
      </c>
      <c r="E15" s="8" t="s">
        <v>74</v>
      </c>
      <c r="F15" s="9">
        <v>400</v>
      </c>
      <c r="G15" s="9">
        <v>500</v>
      </c>
      <c r="J15" s="4" t="e">
        <f ca="1">OFFSET(product[[#Headers],[HSN Code]],0,0,COUNTA($D$4:$D$1048576),COUNTA($D$4:$XFD$4))</f>
        <v>#VALUE!</v>
      </c>
    </row>
    <row r="16" spans="4:10" ht="21" x14ac:dyDescent="0.3">
      <c r="D16" s="8" t="s">
        <v>115</v>
      </c>
      <c r="E16" s="8" t="s">
        <v>116</v>
      </c>
      <c r="F16" s="9">
        <v>500</v>
      </c>
      <c r="G16" s="9">
        <v>580</v>
      </c>
    </row>
    <row r="17" spans="4:7" ht="21" x14ac:dyDescent="0.3">
      <c r="D17" s="8" t="s">
        <v>117</v>
      </c>
      <c r="E17" s="8" t="s">
        <v>88</v>
      </c>
      <c r="F17" s="9">
        <v>1000</v>
      </c>
      <c r="G17" s="9">
        <v>1200</v>
      </c>
    </row>
    <row r="18" spans="4:7" ht="21" x14ac:dyDescent="0.3">
      <c r="D18" s="8" t="s">
        <v>118</v>
      </c>
      <c r="E18" s="8" t="s">
        <v>86</v>
      </c>
      <c r="F18" s="9">
        <v>300</v>
      </c>
      <c r="G18" s="9">
        <v>400</v>
      </c>
    </row>
    <row r="19" spans="4:7" ht="21" x14ac:dyDescent="0.3">
      <c r="D19" s="8" t="s">
        <v>119</v>
      </c>
      <c r="E19" s="8" t="s">
        <v>87</v>
      </c>
      <c r="F19" s="9">
        <v>493</v>
      </c>
      <c r="G19" s="9">
        <v>800</v>
      </c>
    </row>
    <row r="20" spans="4:7" ht="21" x14ac:dyDescent="0.3">
      <c r="D20" s="8" t="s">
        <v>120</v>
      </c>
      <c r="E20" s="8" t="s">
        <v>5</v>
      </c>
      <c r="F20" s="9">
        <v>10000</v>
      </c>
      <c r="G20" s="9">
        <v>12000</v>
      </c>
    </row>
    <row r="21" spans="4:7" ht="21" x14ac:dyDescent="0.3">
      <c r="D21" s="8" t="s">
        <v>121</v>
      </c>
      <c r="E21" s="8" t="s">
        <v>122</v>
      </c>
      <c r="F21" s="9">
        <v>2000</v>
      </c>
      <c r="G21" s="9">
        <v>2200</v>
      </c>
    </row>
  </sheetData>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EBF6C4-6947-41F7-8D5D-FFF4CC1CB2FA}">
  <sheetPr codeName="Sheet5"/>
  <dimension ref="D1:M19"/>
  <sheetViews>
    <sheetView topLeftCell="A4" workbookViewId="0">
      <selection activeCell="H17" sqref="H17"/>
    </sheetView>
  </sheetViews>
  <sheetFormatPr defaultColWidth="8.88671875" defaultRowHeight="14.4" x14ac:dyDescent="0.3"/>
  <cols>
    <col min="1" max="1" width="4.88671875" style="4" customWidth="1"/>
    <col min="2" max="2" width="25" style="4" customWidth="1"/>
    <col min="3" max="3" width="5" style="4" customWidth="1"/>
    <col min="4" max="4" width="14" style="4" customWidth="1"/>
    <col min="5" max="5" width="21.44140625" style="4" bestFit="1" customWidth="1"/>
    <col min="6" max="6" width="14.88671875" style="4" bestFit="1" customWidth="1"/>
    <col min="7" max="7" width="16" style="4" bestFit="1" customWidth="1"/>
    <col min="8" max="8" width="7.6640625" style="4" bestFit="1" customWidth="1"/>
    <col min="9" max="9" width="13.44140625" style="4" bestFit="1" customWidth="1"/>
    <col min="10" max="10" width="19" style="4" bestFit="1" customWidth="1"/>
    <col min="11" max="16384" width="8.88671875" style="4"/>
  </cols>
  <sheetData>
    <row r="1" spans="4:13" ht="10.199999999999999" customHeight="1" x14ac:dyDescent="0.3"/>
    <row r="2" spans="4:13" ht="38.4" customHeight="1" x14ac:dyDescent="0.3"/>
    <row r="4" spans="4:13" ht="21" x14ac:dyDescent="0.3">
      <c r="D4" s="7" t="s">
        <v>102</v>
      </c>
      <c r="E4" s="7" t="s">
        <v>70</v>
      </c>
      <c r="F4" s="7" t="s">
        <v>123</v>
      </c>
      <c r="G4" s="7" t="s">
        <v>124</v>
      </c>
      <c r="H4" s="7" t="s">
        <v>125</v>
      </c>
      <c r="I4" s="7" t="s">
        <v>103</v>
      </c>
      <c r="J4" s="7" t="s">
        <v>126</v>
      </c>
    </row>
    <row r="5" spans="4:13" ht="21" x14ac:dyDescent="0.3">
      <c r="D5" s="8" t="s">
        <v>109</v>
      </c>
      <c r="E5" s="8" t="str">
        <f>IFERROR(VLOOKUP(purchase[[#This Row],[HSN Code]],product[#All],2,0),"")</f>
        <v>Mouse</v>
      </c>
      <c r="F5" s="8" t="str">
        <f>IFERROR(VLOOKUP(purchase[[#This Row],[HSN Code]],vendorsdata[#All],3,0),"")</f>
        <v>GG Traders</v>
      </c>
      <c r="G5" s="10">
        <v>45721</v>
      </c>
      <c r="H5" s="8">
        <v>670</v>
      </c>
      <c r="I5" s="9">
        <f>IFERROR(VLOOKUP(purchase[[#This Row],[HSN Code]],product[#All],3,0),"")</f>
        <v>200</v>
      </c>
      <c r="J5" s="9">
        <f>IFERROR(purchase[[#This Row],[Cost]]*purchase[[#This Row],[Units]],"")</f>
        <v>134000</v>
      </c>
    </row>
    <row r="6" spans="4:13" ht="21" x14ac:dyDescent="0.3">
      <c r="D6" s="8" t="s">
        <v>110</v>
      </c>
      <c r="E6" s="8" t="str">
        <f>IFERROR(VLOOKUP(purchase[[#This Row],[HSN Code]],product[#All],2,0),"")</f>
        <v>Rgb Keyboard</v>
      </c>
      <c r="F6" s="8" t="str">
        <f>IFERROR(VLOOKUP(purchase[[#This Row],[HSN Code]],vendorsdata[#All],3,0),"")</f>
        <v>GG Traders</v>
      </c>
      <c r="G6" s="10">
        <v>45752</v>
      </c>
      <c r="H6" s="8">
        <v>559</v>
      </c>
      <c r="I6" s="9">
        <f>IFERROR(VLOOKUP(purchase[[#This Row],[HSN Code]],product[#All],3,0),"")</f>
        <v>340</v>
      </c>
      <c r="J6" s="9">
        <f>IFERROR(purchase[[#This Row],[Cost]]*purchase[[#This Row],[Units]],"")</f>
        <v>190060</v>
      </c>
    </row>
    <row r="7" spans="4:13" ht="21" x14ac:dyDescent="0.3">
      <c r="D7" s="8" t="s">
        <v>114</v>
      </c>
      <c r="E7" s="8" t="str">
        <f>IFERROR(VLOOKUP(purchase[[#This Row],[HSN Code]],product[#All],2,0),"")</f>
        <v>Tablets</v>
      </c>
      <c r="F7" s="8" t="str">
        <f>IFERROR(VLOOKUP(purchase[[#This Row],[HSN Code]],vendorsdata[#All],3,0),"")</f>
        <v>Compac</v>
      </c>
      <c r="G7" s="10">
        <v>45874</v>
      </c>
      <c r="H7" s="8">
        <v>300</v>
      </c>
      <c r="I7" s="9">
        <f>IFERROR(VLOOKUP(purchase[[#This Row],[HSN Code]],product[#All],3,0),"")</f>
        <v>23500</v>
      </c>
      <c r="J7" s="9">
        <f>IFERROR(purchase[[#This Row],[Cost]]*purchase[[#This Row],[Units]],"")</f>
        <v>7050000</v>
      </c>
    </row>
    <row r="8" spans="4:13" ht="21" x14ac:dyDescent="0.3">
      <c r="D8" s="8" t="s">
        <v>115</v>
      </c>
      <c r="E8" s="8" t="str">
        <f>IFERROR(VLOOKUP(purchase[[#This Row],[HSN Code]],product[#All],2,0),"")</f>
        <v>Earphone</v>
      </c>
      <c r="F8" s="8" t="str">
        <f>IFERROR(VLOOKUP(purchase[[#This Row],[HSN Code]],vendorsdata[#All],3,0),"")</f>
        <v>Xyz</v>
      </c>
      <c r="G8" s="10">
        <v>45966</v>
      </c>
      <c r="H8" s="8">
        <v>605</v>
      </c>
      <c r="I8" s="9">
        <f>IFERROR(VLOOKUP(purchase[[#This Row],[HSN Code]],product[#All],3,0),"")</f>
        <v>400</v>
      </c>
      <c r="J8" s="9">
        <f>IFERROR(purchase[[#This Row],[Cost]]*purchase[[#This Row],[Units]],"")</f>
        <v>242000</v>
      </c>
    </row>
    <row r="9" spans="4:13" ht="21" x14ac:dyDescent="0.3">
      <c r="D9" s="8" t="s">
        <v>112</v>
      </c>
      <c r="E9" s="8" t="str">
        <f>IFERROR(VLOOKUP(purchase[[#This Row],[HSN Code]],product[#All],2,0),"")</f>
        <v>Headphones</v>
      </c>
      <c r="F9" s="8" t="str">
        <f>IFERROR(VLOOKUP(purchase[[#This Row],[HSN Code]],vendorsdata[#All],3,0),"")</f>
        <v>Compac</v>
      </c>
      <c r="G9" s="10">
        <v>45966</v>
      </c>
      <c r="H9" s="8">
        <v>506</v>
      </c>
      <c r="I9" s="9">
        <f>IFERROR(VLOOKUP(purchase[[#This Row],[HSN Code]],product[#All],3,0),"")</f>
        <v>799</v>
      </c>
      <c r="J9" s="9">
        <f>IFERROR(purchase[[#This Row],[Cost]]*purchase[[#This Row],[Units]],"")</f>
        <v>404294</v>
      </c>
    </row>
    <row r="10" spans="4:13" ht="21" x14ac:dyDescent="0.3">
      <c r="D10" s="8" t="s">
        <v>105</v>
      </c>
      <c r="E10" s="8" t="str">
        <f>IFERROR(VLOOKUP(purchase[[#This Row],[HSN Code]],product[#All],2,0),"")</f>
        <v>Smart Watch</v>
      </c>
      <c r="F10" s="8" t="str">
        <f>IFERROR(VLOOKUP(purchase[[#This Row],[HSN Code]],vendorsdata[#All],3,0),"")</f>
        <v>Tech99</v>
      </c>
      <c r="G10" s="10" t="s">
        <v>127</v>
      </c>
      <c r="H10" s="8">
        <v>609</v>
      </c>
      <c r="I10" s="9">
        <f>IFERROR(VLOOKUP(purchase[[#This Row],[HSN Code]],product[#All],3,0),"")</f>
        <v>980</v>
      </c>
      <c r="J10" s="9">
        <f>IFERROR(purchase[[#This Row],[Cost]]*purchase[[#This Row],[Units]],"")</f>
        <v>596820</v>
      </c>
    </row>
    <row r="11" spans="4:13" ht="21" x14ac:dyDescent="0.3">
      <c r="D11" s="8" t="s">
        <v>105</v>
      </c>
      <c r="E11" s="8" t="str">
        <f>IFERROR(VLOOKUP(purchase[[#This Row],[HSN Code]],product[#All],2,0),"")</f>
        <v>Smart Watch</v>
      </c>
      <c r="F11" s="8" t="str">
        <f>IFERROR(VLOOKUP(purchase[[#This Row],[HSN Code]],vendorsdata[#All],3,0),"")</f>
        <v>Tech99</v>
      </c>
      <c r="G11" s="10" t="s">
        <v>127</v>
      </c>
      <c r="H11" s="8">
        <v>703</v>
      </c>
      <c r="I11" s="9">
        <f>IFERROR(VLOOKUP(purchase[[#This Row],[HSN Code]],product[#All],3,0),"")</f>
        <v>980</v>
      </c>
      <c r="J11" s="9">
        <f>IFERROR(purchase[[#This Row],[Cost]]*purchase[[#This Row],[Units]],"")</f>
        <v>688940</v>
      </c>
    </row>
    <row r="12" spans="4:13" ht="21" x14ac:dyDescent="0.3">
      <c r="D12" s="8" t="s">
        <v>106</v>
      </c>
      <c r="E12" s="8" t="str">
        <f>IFERROR(VLOOKUP(purchase[[#This Row],[HSN Code]],product[#All],2,0),"")</f>
        <v>Laptop HP xyz i5</v>
      </c>
      <c r="F12" s="8" t="str">
        <f>IFERROR(VLOOKUP(purchase[[#This Row],[HSN Code]],vendorsdata[#All],3,0),"")</f>
        <v>Tech99</v>
      </c>
      <c r="G12" s="10" t="s">
        <v>128</v>
      </c>
      <c r="H12" s="8">
        <v>502</v>
      </c>
      <c r="I12" s="9">
        <f>IFERROR(VLOOKUP(purchase[[#This Row],[HSN Code]],product[#All],3,0),"")</f>
        <v>34500</v>
      </c>
      <c r="J12" s="9">
        <f>IFERROR(purchase[[#This Row],[Cost]]*purchase[[#This Row],[Units]],"")</f>
        <v>17319000</v>
      </c>
    </row>
    <row r="13" spans="4:13" ht="21" x14ac:dyDescent="0.3">
      <c r="D13" s="8" t="s">
        <v>108</v>
      </c>
      <c r="E13" s="8" t="str">
        <f>IFERROR(VLOOKUP(purchase[[#This Row],[HSN Code]],product[#All],2,0),"")</f>
        <v>Desktop</v>
      </c>
      <c r="F13" s="8" t="str">
        <f>IFERROR(VLOOKUP(purchase[[#This Row],[HSN Code]],vendorsdata[#All],3,0),"")</f>
        <v>GG Traders</v>
      </c>
      <c r="G13" s="8" t="s">
        <v>129</v>
      </c>
      <c r="H13" s="8">
        <v>608</v>
      </c>
      <c r="I13" s="9">
        <f>IFERROR(VLOOKUP(purchase[[#This Row],[HSN Code]],product[#All],3,0),"")</f>
        <v>21000</v>
      </c>
      <c r="J13" s="9">
        <v>755445</v>
      </c>
      <c r="M13" s="4" t="e">
        <f ca="1">OFFSET(purchase[[#Headers],[HSN Code]],0,0,COUNTA($D$4:$D$1048576),COUNTA(purchase[#Headers]))</f>
        <v>#VALUE!</v>
      </c>
    </row>
    <row r="14" spans="4:13" ht="21" x14ac:dyDescent="0.3">
      <c r="D14" s="8" t="s">
        <v>111</v>
      </c>
      <c r="E14" s="8" t="str">
        <f>IFERROR(VLOOKUP(purchase[[#This Row],[HSN Code]],product[#All],2,0),"")</f>
        <v>Camera</v>
      </c>
      <c r="F14" s="8" t="str">
        <f>IFERROR(VLOOKUP(purchase[[#This Row],[HSN Code]],vendorsdata[#All],3,0),"")</f>
        <v>GG Traders</v>
      </c>
      <c r="G14" s="8" t="s">
        <v>130</v>
      </c>
      <c r="H14" s="8">
        <v>10</v>
      </c>
      <c r="I14" s="9">
        <f>IFERROR(VLOOKUP(purchase[[#This Row],[HSN Code]],product[#All],3,0),"")</f>
        <v>52000</v>
      </c>
      <c r="J14" s="9">
        <f>IFERROR(purchase[[#This Row],[Cost]]*purchase[[#This Row],[Units]],"")</f>
        <v>520000</v>
      </c>
    </row>
    <row r="15" spans="4:13" ht="21" x14ac:dyDescent="0.3">
      <c r="D15" s="8" t="s">
        <v>117</v>
      </c>
      <c r="E15" s="8" t="str">
        <f>IFERROR(VLOOKUP(purchase[[#This Row],[HSN Code]],product[#All],2,0),"")</f>
        <v>ElectricFan</v>
      </c>
      <c r="F15" s="8" t="s">
        <v>131</v>
      </c>
      <c r="G15" s="10">
        <v>45908</v>
      </c>
      <c r="H15" s="8">
        <v>600</v>
      </c>
      <c r="I15" s="9">
        <f>IFERROR(VLOOKUP(purchase[[#This Row],[HSN Code]],product[#All],3,0),"")</f>
        <v>1000</v>
      </c>
      <c r="J15" s="9">
        <f>IFERROR(purchase[[#This Row],[Cost]]*purchase[[#This Row],[Units]],"")</f>
        <v>600000</v>
      </c>
    </row>
    <row r="16" spans="4:13" ht="21" x14ac:dyDescent="0.3">
      <c r="D16" s="8" t="s">
        <v>118</v>
      </c>
      <c r="E16" s="8" t="str">
        <f>IFERROR(VLOOKUP(purchase[[#This Row],[HSN Code]],product[#All],2,0),"")</f>
        <v>Wireless charge</v>
      </c>
      <c r="F16" s="8" t="s">
        <v>132</v>
      </c>
      <c r="G16" s="10">
        <v>45909</v>
      </c>
      <c r="H16" s="8">
        <v>300</v>
      </c>
      <c r="I16" s="9">
        <f>IFERROR(VLOOKUP(purchase[[#This Row],[HSN Code]],product[#All],3,0),"")</f>
        <v>300</v>
      </c>
      <c r="J16" s="9">
        <f>IFERROR(purchase[[#This Row],[Cost]]*purchase[[#This Row],[Units]],"")</f>
        <v>90000</v>
      </c>
    </row>
    <row r="17" spans="4:10" ht="21" x14ac:dyDescent="0.3">
      <c r="D17" s="8" t="s">
        <v>119</v>
      </c>
      <c r="E17" s="8" t="str">
        <f>IFERROR(VLOOKUP(purchase[[#This Row],[HSN Code]],product[#All],2,0),"")</f>
        <v>pc</v>
      </c>
      <c r="F17" s="8" t="s">
        <v>133</v>
      </c>
      <c r="G17" s="10">
        <v>45939</v>
      </c>
      <c r="H17" s="8">
        <v>280</v>
      </c>
      <c r="I17" s="9">
        <f>IFERROR(VLOOKUP(purchase[[#This Row],[HSN Code]],product[#All],3,0),"")</f>
        <v>493</v>
      </c>
      <c r="J17" s="9">
        <f>IFERROR(purchase[[#This Row],[Cost]]*purchase[[#This Row],[Units]],"")</f>
        <v>138040</v>
      </c>
    </row>
    <row r="18" spans="4:10" ht="21" x14ac:dyDescent="0.3">
      <c r="D18" s="8" t="s">
        <v>113</v>
      </c>
      <c r="E18" s="8" t="str">
        <f>IFERROR(VLOOKUP(purchase[[#This Row],[HSN Code]],product[#All],2,0),"")</f>
        <v>Speakers</v>
      </c>
      <c r="F18" s="8" t="str">
        <f>IFERROR(VLOOKUP(purchase[[#This Row],[HSN Code]],vendorsdata[#All],3,0),"")</f>
        <v>Compac</v>
      </c>
      <c r="G18" s="10">
        <v>45940</v>
      </c>
      <c r="H18" s="8">
        <v>500</v>
      </c>
      <c r="I18" s="9">
        <f>IFERROR(VLOOKUP(purchase[[#This Row],[HSN Code]],product[#All],3,0),"")</f>
        <v>670</v>
      </c>
      <c r="J18" s="9">
        <f>IFERROR(purchase[[#This Row],[Cost]]*purchase[[#This Row],[Units]],"")</f>
        <v>335000</v>
      </c>
    </row>
    <row r="19" spans="4:10" ht="21" x14ac:dyDescent="0.3">
      <c r="D19" s="8" t="s">
        <v>120</v>
      </c>
      <c r="E19" s="8" t="str">
        <f>IFERROR(VLOOKUP(purchase[[#This Row],[HSN Code]],product[#All],2,0),"")</f>
        <v>Mobile</v>
      </c>
      <c r="F19" s="8" t="s">
        <v>134</v>
      </c>
      <c r="G19" s="10">
        <v>46003</v>
      </c>
      <c r="H19" s="8">
        <v>300</v>
      </c>
      <c r="I19" s="9">
        <f>IFERROR(VLOOKUP(purchase[[#This Row],[HSN Code]],product[#All],3,0),"")</f>
        <v>10000</v>
      </c>
      <c r="J19" s="9">
        <f>IFERROR(purchase[[#This Row],[Cost]]*purchase[[#This Row],[Units]],"")</f>
        <v>3000000</v>
      </c>
    </row>
  </sheetData>
  <dataValidations count="1">
    <dataValidation type="list" allowBlank="1" showInputMessage="1" showErrorMessage="1" sqref="D5:D1048576" xr:uid="{8ACBC21A-8E7B-4A71-BBC6-A0557EDAF137}">
      <formula1>HSNCODE</formula1>
    </dataValidation>
  </dataValidations>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3108E2-F7B1-4F74-9E9B-27898D8341A0}">
  <sheetPr codeName="Sheet6"/>
  <dimension ref="A1:E8"/>
  <sheetViews>
    <sheetView workbookViewId="0">
      <selection activeCell="H29" sqref="H29"/>
    </sheetView>
  </sheetViews>
  <sheetFormatPr defaultColWidth="8.88671875" defaultRowHeight="14.4" x14ac:dyDescent="0.3"/>
  <cols>
    <col min="1" max="1" width="4.88671875" style="4" customWidth="1"/>
    <col min="2" max="2" width="25" style="4" customWidth="1"/>
    <col min="3" max="3" width="5" style="4" customWidth="1"/>
    <col min="4" max="4" width="8.88671875" style="4"/>
    <col min="5" max="5" width="26" style="4" customWidth="1"/>
    <col min="6" max="16384" width="8.88671875" style="4"/>
  </cols>
  <sheetData>
    <row r="1" spans="1:5" ht="10.199999999999999" customHeight="1" x14ac:dyDescent="0.5">
      <c r="A1" s="12"/>
    </row>
    <row r="2" spans="1:5" ht="38.4" customHeight="1" x14ac:dyDescent="0.3"/>
    <row r="6" spans="1:5" ht="25.8" x14ac:dyDescent="0.3">
      <c r="E6" s="13" t="s">
        <v>135</v>
      </c>
    </row>
    <row r="7" spans="1:5" ht="18" x14ac:dyDescent="0.3">
      <c r="E7" s="6"/>
    </row>
    <row r="8" spans="1:5" ht="25.8" x14ac:dyDescent="0.3">
      <c r="E8" s="13" t="s">
        <v>136</v>
      </c>
    </row>
  </sheetData>
  <hyperlinks>
    <hyperlink ref="E6" location="Purchase!A1" display="Purchase Entry" xr:uid="{27F57FD3-D982-4087-A17D-067F07BE3573}"/>
    <hyperlink ref="E8" location="Sales!A1" display="Sales Entry" xr:uid="{02B0332D-9E15-4912-9EF1-079A69DF368B}"/>
  </hyperlink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7CC82D-6939-4E82-A2F8-7AE78468D112}">
  <sheetPr codeName="Sheet7"/>
  <dimension ref="D1:M20"/>
  <sheetViews>
    <sheetView topLeftCell="C3" workbookViewId="0">
      <selection activeCell="D4" sqref="D4"/>
    </sheetView>
  </sheetViews>
  <sheetFormatPr defaultColWidth="8.88671875" defaultRowHeight="14.4" x14ac:dyDescent="0.3"/>
  <cols>
    <col min="1" max="1" width="4.88671875" style="4" customWidth="1"/>
    <col min="2" max="2" width="25" style="4" customWidth="1"/>
    <col min="3" max="3" width="3.88671875" style="4" customWidth="1"/>
    <col min="4" max="4" width="15.88671875" style="4" bestFit="1" customWidth="1"/>
    <col min="5" max="5" width="21.44140625" style="4" bestFit="1" customWidth="1"/>
    <col min="6" max="6" width="9" style="4" bestFit="1" customWidth="1"/>
    <col min="7" max="7" width="12.33203125" style="4" bestFit="1" customWidth="1"/>
    <col min="8" max="8" width="12.109375" style="4" bestFit="1" customWidth="1"/>
    <col min="9" max="9" width="10.33203125" style="4" bestFit="1" customWidth="1"/>
    <col min="10" max="10" width="34.6640625" style="4" customWidth="1"/>
    <col min="11" max="11" width="67.33203125" style="4" bestFit="1" customWidth="1"/>
    <col min="12" max="16384" width="8.88671875" style="4"/>
  </cols>
  <sheetData>
    <row r="1" spans="4:13" ht="10.199999999999999" customHeight="1" x14ac:dyDescent="0.3"/>
    <row r="2" spans="4:13" ht="38.4" customHeight="1" x14ac:dyDescent="0.3"/>
    <row r="4" spans="4:13" ht="21" x14ac:dyDescent="0.3">
      <c r="D4" s="7" t="s">
        <v>102</v>
      </c>
      <c r="E4" s="7" t="s">
        <v>70</v>
      </c>
      <c r="F4" s="7" t="s">
        <v>103</v>
      </c>
      <c r="G4" s="7" t="s">
        <v>137</v>
      </c>
      <c r="H4" s="7" t="s">
        <v>138</v>
      </c>
      <c r="I4" s="7" t="s">
        <v>139</v>
      </c>
      <c r="J4" s="7" t="s">
        <v>140</v>
      </c>
      <c r="K4" s="7" t="s">
        <v>141</v>
      </c>
    </row>
    <row r="5" spans="4:13" ht="21" x14ac:dyDescent="0.3">
      <c r="D5" s="8" t="str">
        <f>IFERROR(product[[#This Row],[HSN Code]],"")</f>
        <v>N1001</v>
      </c>
      <c r="E5" s="8" t="str">
        <f>IFERROR(product[[#This Row],[Product Name]],"")</f>
        <v>Smart Watch</v>
      </c>
      <c r="F5" s="8">
        <f>IFERROR(product[[#This Row],[Cost]],"")</f>
        <v>980</v>
      </c>
      <c r="G5" s="8">
        <f>SUMIF(purchase[Product Name],Inventory[[#This Row],[Product Name]],purchase[Units])</f>
        <v>1312</v>
      </c>
      <c r="H5" s="8">
        <f>IFERROR(SUMIF(sales[Product Name],Inventory[[#This Row],[Product Name]],sales[Units]),"")</f>
        <v>203</v>
      </c>
      <c r="I5" s="8">
        <f>Inventory[[#This Row],[P Units]]-Inventory[[#This Row],[S Units]]</f>
        <v>1109</v>
      </c>
      <c r="J5" s="11">
        <f>IFERROR(Inventory[[#This Row],[Cost]]*Inventory[[#This Row],[Stock]],"")</f>
        <v>1086820</v>
      </c>
      <c r="K5" s="8" t="str">
        <f>IFERROR(IF(Inventory[[#This Row],[Stock]]&lt;5,"📞 "&amp;Inventory[[#This Row],[Product Name]]&amp;" Need to re-order! PH " &amp; VLOOKUP(Inventory[[#This Row],[HSN Code]],vendorsdata[#All],4,0),""),"")</f>
        <v/>
      </c>
      <c r="M5" s="4" t="e">
        <f ca="1">OFFSET(Inventory[[#Headers],[HSN Code]],0,0,COUNTA($E$4:$E$1048576),COUNTA(Inventory[[#Headers],[Product Name]:[notifications]]))</f>
        <v>#VALUE!</v>
      </c>
    </row>
    <row r="6" spans="4:13" ht="21" x14ac:dyDescent="0.3">
      <c r="D6" s="8" t="str">
        <f>IFERROR(product[[#This Row],[HSN Code]],"")</f>
        <v>N1002</v>
      </c>
      <c r="E6" s="8" t="str">
        <f>IFERROR(product[[#This Row],[Product Name]],"")</f>
        <v>Laptop HP xyz i5</v>
      </c>
      <c r="F6" s="8">
        <f>IFERROR(product[[#This Row],[Cost]],"")</f>
        <v>34500</v>
      </c>
      <c r="G6" s="8">
        <f>SUMIF(purchase[Product Name],Inventory[[#This Row],[Product Name]],purchase[Units])</f>
        <v>502</v>
      </c>
      <c r="H6" s="8">
        <f>IFERROR(SUMIF(sales[Product Name],Inventory[[#This Row],[Product Name]],sales[Units]),"")</f>
        <v>171</v>
      </c>
      <c r="I6" s="8">
        <f>Inventory[[#This Row],[P Units]]-Inventory[[#This Row],[S Units]]</f>
        <v>331</v>
      </c>
      <c r="J6" s="11">
        <f>IFERROR(Inventory[[#This Row],[Cost]]*Inventory[[#This Row],[Stock]],"")</f>
        <v>11419500</v>
      </c>
      <c r="K6" s="8" t="str">
        <f>IFERROR(IF(Inventory[[#This Row],[Stock]]&lt;5,"📞 "&amp;Inventory[[#This Row],[Product Name]]&amp;" Need to re-order! PH " &amp; VLOOKUP(Inventory[[#This Row],[HSN Code]],vendorsdata[#All],4,0),""),"")</f>
        <v/>
      </c>
    </row>
    <row r="7" spans="4:13" ht="21" x14ac:dyDescent="0.3">
      <c r="D7" s="8" t="str">
        <f>IFERROR(product[[#This Row],[HSN Code]],"")</f>
        <v>N1003</v>
      </c>
      <c r="E7" s="8" t="str">
        <f>IFERROR(product[[#This Row],[Product Name]],"")</f>
        <v>Wireless Printer</v>
      </c>
      <c r="F7" s="8">
        <f>IFERROR(product[[#This Row],[Cost]],"")</f>
        <v>4600</v>
      </c>
      <c r="G7" s="8">
        <f>SUMIF(purchase[Product Name],Inventory[[#This Row],[Product Name]],purchase[Units])</f>
        <v>0</v>
      </c>
      <c r="H7" s="8">
        <f>IFERROR(SUMIF(sales[Product Name],Inventory[[#This Row],[Product Name]],sales[Units]),"")</f>
        <v>0</v>
      </c>
      <c r="I7" s="8">
        <f>Inventory[[#This Row],[P Units]]-Inventory[[#This Row],[S Units]]</f>
        <v>0</v>
      </c>
      <c r="J7" s="11">
        <f>IFERROR(Inventory[[#This Row],[Cost]]*Inventory[[#This Row],[Stock]],"")</f>
        <v>0</v>
      </c>
      <c r="K7" s="8" t="str">
        <f>IFERROR(IF(Inventory[[#This Row],[Stock]]&lt;5,"📞 "&amp;Inventory[[#This Row],[Product Name]]&amp;" Need to re-order! PH " &amp; VLOOKUP(Inventory[[#This Row],[HSN Code]],vendorsdata[#All],4,0),""),"")</f>
        <v>📞 Wireless Printer Need to re-order! PH 9812xxxxxx</v>
      </c>
    </row>
    <row r="8" spans="4:13" ht="21" x14ac:dyDescent="0.3">
      <c r="D8" s="8" t="str">
        <f>IFERROR(product[[#This Row],[HSN Code]],"")</f>
        <v>N1004</v>
      </c>
      <c r="E8" s="8" t="str">
        <f>IFERROR(product[[#This Row],[Product Name]],"")</f>
        <v>Desktop</v>
      </c>
      <c r="F8" s="8">
        <f>IFERROR(product[[#This Row],[Cost]],"")</f>
        <v>21000</v>
      </c>
      <c r="G8" s="8">
        <f>SUMIF(purchase[Product Name],Inventory[[#This Row],[Product Name]],purchase[Units])</f>
        <v>608</v>
      </c>
      <c r="H8" s="8">
        <f>IFERROR(SUMIF(sales[Product Name],Inventory[[#This Row],[Product Name]],sales[Units]),"")</f>
        <v>10</v>
      </c>
      <c r="I8" s="8">
        <f>Inventory[[#This Row],[P Units]]-Inventory[[#This Row],[S Units]]</f>
        <v>598</v>
      </c>
      <c r="J8" s="11">
        <f>IFERROR(Inventory[[#This Row],[Cost]]*Inventory[[#This Row],[Stock]],"")</f>
        <v>12558000</v>
      </c>
      <c r="K8" s="8" t="str">
        <f>IFERROR(IF(Inventory[[#This Row],[Stock]]&lt;5,"📞 "&amp;Inventory[[#This Row],[Product Name]]&amp;" Need to re-order! PH " &amp; VLOOKUP(Inventory[[#This Row],[HSN Code]],vendorsdata[#All],4,0),""),"")</f>
        <v/>
      </c>
    </row>
    <row r="9" spans="4:13" ht="21" x14ac:dyDescent="0.3">
      <c r="D9" s="8" t="str">
        <f>IFERROR(product[[#This Row],[HSN Code]],"")</f>
        <v>N1005</v>
      </c>
      <c r="E9" s="8" t="str">
        <f>IFERROR(product[[#This Row],[Product Name]],"")</f>
        <v>Mouse</v>
      </c>
      <c r="F9" s="8">
        <f>IFERROR(product[[#This Row],[Cost]],"")</f>
        <v>200</v>
      </c>
      <c r="G9" s="8">
        <f>SUMIF(purchase[Product Name],Inventory[[#This Row],[Product Name]],purchase[Units])</f>
        <v>670</v>
      </c>
      <c r="H9" s="8">
        <f>IFERROR(SUMIF(sales[Product Name],Inventory[[#This Row],[Product Name]],sales[Units]),"")</f>
        <v>43</v>
      </c>
      <c r="I9" s="8">
        <f>Inventory[[#This Row],[P Units]]-Inventory[[#This Row],[S Units]]</f>
        <v>627</v>
      </c>
      <c r="J9" s="11">
        <f>IFERROR(Inventory[[#This Row],[Cost]]*Inventory[[#This Row],[Stock]],"")</f>
        <v>125400</v>
      </c>
      <c r="K9" s="8" t="str">
        <f>IFERROR(IF(Inventory[[#This Row],[Stock]]&lt;5,"📞 "&amp;Inventory[[#This Row],[Product Name]]&amp;" Need to re-order! PH " &amp; VLOOKUP(Inventory[[#This Row],[HSN Code]],vendorsdata[#All],4,0),""),"")</f>
        <v/>
      </c>
    </row>
    <row r="10" spans="4:13" ht="21" x14ac:dyDescent="0.3">
      <c r="D10" s="8" t="str">
        <f>IFERROR(product[[#This Row],[HSN Code]],"")</f>
        <v>N1006</v>
      </c>
      <c r="E10" s="8" t="str">
        <f>IFERROR(product[[#This Row],[Product Name]],"")</f>
        <v>Rgb Keyboard</v>
      </c>
      <c r="F10" s="8">
        <f>IFERROR(product[[#This Row],[Cost]],"")</f>
        <v>340</v>
      </c>
      <c r="G10" s="8">
        <f>SUMIF(purchase[Product Name],Inventory[[#This Row],[Product Name]],purchase[Units])</f>
        <v>559</v>
      </c>
      <c r="H10" s="8">
        <f>IFERROR(SUMIF(sales[Product Name],Inventory[[#This Row],[Product Name]],sales[Units]),"")</f>
        <v>55</v>
      </c>
      <c r="I10" s="8">
        <f>Inventory[[#This Row],[P Units]]-Inventory[[#This Row],[S Units]]</f>
        <v>504</v>
      </c>
      <c r="J10" s="11">
        <f>IFERROR(Inventory[[#This Row],[Cost]]*Inventory[[#This Row],[Stock]],"")</f>
        <v>171360</v>
      </c>
      <c r="K10" s="8" t="str">
        <f>IFERROR(IF(Inventory[[#This Row],[Stock]]&lt;5,"📞 "&amp;Inventory[[#This Row],[Product Name]]&amp;" Need to re-order! PH " &amp; VLOOKUP(Inventory[[#This Row],[HSN Code]],vendorsdata[#All],4,0),""),"")</f>
        <v/>
      </c>
    </row>
    <row r="11" spans="4:13" ht="21" x14ac:dyDescent="0.3">
      <c r="D11" s="8" t="str">
        <f>IFERROR(product[[#This Row],[HSN Code]],"")</f>
        <v>N1007</v>
      </c>
      <c r="E11" s="8" t="str">
        <f>IFERROR(product[[#This Row],[Product Name]],"")</f>
        <v>Camera</v>
      </c>
      <c r="F11" s="8">
        <f>IFERROR(product[[#This Row],[Cost]],"")</f>
        <v>52000</v>
      </c>
      <c r="G11" s="8">
        <f>SUMIF(purchase[Product Name],Inventory[[#This Row],[Product Name]],purchase[Units])</f>
        <v>10</v>
      </c>
      <c r="H11" s="8">
        <f>IFERROR(SUMIF(sales[Product Name],Inventory[[#This Row],[Product Name]],sales[Units]),"")</f>
        <v>125</v>
      </c>
      <c r="I11" s="8">
        <f>Inventory[[#This Row],[P Units]]-Inventory[[#This Row],[S Units]]</f>
        <v>-115</v>
      </c>
      <c r="J11" s="11">
        <f>IFERROR(Inventory[[#This Row],[Cost]]*Inventory[[#This Row],[Stock]],"")</f>
        <v>-5980000</v>
      </c>
      <c r="K11" s="8" t="str">
        <f>IFERROR(IF(Inventory[[#This Row],[Stock]]&lt;5,"📞 "&amp;Inventory[[#This Row],[Product Name]]&amp;" Need to re-order! PH " &amp; VLOOKUP(Inventory[[#This Row],[HSN Code]],vendorsdata[#All],4,0),""),"")</f>
        <v>📞 Camera Need to re-order! PH 9813xxxxxx</v>
      </c>
    </row>
    <row r="12" spans="4:13" ht="21" x14ac:dyDescent="0.3">
      <c r="D12" s="8" t="str">
        <f>IFERROR(product[[#This Row],[HSN Code]],"")</f>
        <v>N1008</v>
      </c>
      <c r="E12" s="8" t="str">
        <f>IFERROR(product[[#This Row],[Product Name]],"")</f>
        <v>Headphones</v>
      </c>
      <c r="F12" s="8">
        <f>IFERROR(product[[#This Row],[Cost]],"")</f>
        <v>799</v>
      </c>
      <c r="G12" s="8">
        <f>SUMIF(purchase[Product Name],Inventory[[#This Row],[Product Name]],purchase[Units])</f>
        <v>506</v>
      </c>
      <c r="H12" s="8">
        <f>IFERROR(SUMIF(sales[Product Name],Inventory[[#This Row],[Product Name]],sales[Units]),"")</f>
        <v>114</v>
      </c>
      <c r="I12" s="8">
        <f>Inventory[[#This Row],[P Units]]-Inventory[[#This Row],[S Units]]</f>
        <v>392</v>
      </c>
      <c r="J12" s="11">
        <f>IFERROR(Inventory[[#This Row],[Cost]]*Inventory[[#This Row],[Stock]],"")</f>
        <v>313208</v>
      </c>
      <c r="K12" s="8" t="str">
        <f>IFERROR(IF(Inventory[[#This Row],[Stock]]&lt;5,"📞 "&amp;Inventory[[#This Row],[Product Name]]&amp;" Need to re-order! PH " &amp; VLOOKUP(Inventory[[#This Row],[HSN Code]],vendorsdata[#All],4,0),""),"")</f>
        <v/>
      </c>
    </row>
    <row r="13" spans="4:13" ht="21" x14ac:dyDescent="0.3">
      <c r="D13" s="8" t="str">
        <f>IFERROR(product[[#This Row],[HSN Code]],"")</f>
        <v>N1009</v>
      </c>
      <c r="E13" s="8" t="str">
        <f>IFERROR(product[[#This Row],[Product Name]],"")</f>
        <v>Speakers</v>
      </c>
      <c r="F13" s="8">
        <f>IFERROR(product[[#This Row],[Cost]],"")</f>
        <v>670</v>
      </c>
      <c r="G13" s="8">
        <f>SUMIF(purchase[Product Name],Inventory[[#This Row],[Product Name]],purchase[Units])</f>
        <v>500</v>
      </c>
      <c r="H13" s="8">
        <f>IFERROR(SUMIF(sales[Product Name],Inventory[[#This Row],[Product Name]],sales[Units]),"")</f>
        <v>50</v>
      </c>
      <c r="I13" s="8">
        <f>Inventory[[#This Row],[P Units]]-Inventory[[#This Row],[S Units]]</f>
        <v>450</v>
      </c>
      <c r="J13" s="11">
        <f>IFERROR(Inventory[[#This Row],[Cost]]*Inventory[[#This Row],[Stock]],"")</f>
        <v>301500</v>
      </c>
      <c r="K13" s="8" t="str">
        <f>IFERROR(IF(Inventory[[#This Row],[Stock]]&lt;5,"📞 "&amp;Inventory[[#This Row],[Product Name]]&amp;" Need to re-order! PH " &amp; VLOOKUP(Inventory[[#This Row],[HSN Code]],vendorsdata[#All],4,0),""),"")</f>
        <v/>
      </c>
    </row>
    <row r="14" spans="4:13" ht="21" x14ac:dyDescent="0.3">
      <c r="D14" s="8" t="str">
        <f>IFERROR(product[[#This Row],[HSN Code]],"")</f>
        <v>N1010</v>
      </c>
      <c r="E14" s="8" t="str">
        <f>IFERROR(product[[#This Row],[Product Name]],"")</f>
        <v>Tablets</v>
      </c>
      <c r="F14" s="8">
        <f>IFERROR(product[[#This Row],[Cost]],"")</f>
        <v>23500</v>
      </c>
      <c r="G14" s="8">
        <f>SUMIF(purchase[Product Name],Inventory[[#This Row],[Product Name]],purchase[Units])</f>
        <v>300</v>
      </c>
      <c r="H14" s="8">
        <f>IFERROR(SUMIF(sales[Product Name],Inventory[[#This Row],[Product Name]],sales[Units]),"")</f>
        <v>64</v>
      </c>
      <c r="I14" s="8">
        <f>Inventory[[#This Row],[P Units]]-Inventory[[#This Row],[S Units]]</f>
        <v>236</v>
      </c>
      <c r="J14" s="11">
        <f>IFERROR(Inventory[[#This Row],[Cost]]*Inventory[[#This Row],[Stock]],"")</f>
        <v>5546000</v>
      </c>
      <c r="K14" s="8" t="str">
        <f>IFERROR(IF(Inventory[[#This Row],[Stock]]&lt;5,"📞 "&amp;Inventory[[#This Row],[Product Name]]&amp;" Need to re-order! PH " &amp; VLOOKUP(Inventory[[#This Row],[HSN Code]],vendorsdata[#All],4,0),""),"")</f>
        <v/>
      </c>
    </row>
    <row r="15" spans="4:13" ht="21" x14ac:dyDescent="0.3">
      <c r="D15" s="8" t="str">
        <f>IFERROR(product[[#This Row],[HSN Code]],"")</f>
        <v>N1011</v>
      </c>
      <c r="E15" s="8" t="str">
        <f>IFERROR(product[[#This Row],[Product Name]],"")</f>
        <v>Earphone</v>
      </c>
      <c r="F15" s="8">
        <f>IFERROR(product[[#This Row],[Cost]],"")</f>
        <v>400</v>
      </c>
      <c r="G15" s="8">
        <f>SUMIF(purchase[Product Name],Inventory[[#This Row],[Product Name]],purchase[Units])</f>
        <v>605</v>
      </c>
      <c r="H15" s="8">
        <f>IFERROR(SUMIF(sales[Product Name],Inventory[[#This Row],[Product Name]],sales[Units]),"")</f>
        <v>0</v>
      </c>
      <c r="I15" s="8">
        <f>Inventory[[#This Row],[P Units]]-Inventory[[#This Row],[S Units]]</f>
        <v>605</v>
      </c>
      <c r="J15" s="11">
        <f>IFERROR(Inventory[[#This Row],[Cost]]*Inventory[[#This Row],[Stock]],"")</f>
        <v>242000</v>
      </c>
      <c r="K15" s="8" t="str">
        <f>IFERROR(IF(Inventory[[#This Row],[Stock]]&lt;5,"📞 "&amp;Inventory[[#This Row],[Product Name]]&amp;" Need to re-order! PH " &amp; VLOOKUP(Inventory[[#This Row],[HSN Code]],vendorsdata[#All],4,0),""),"")</f>
        <v/>
      </c>
    </row>
    <row r="16" spans="4:13" ht="21" x14ac:dyDescent="0.3">
      <c r="D16" s="8" t="str">
        <f>IFERROR(product[[#This Row],[HSN Code]],"")</f>
        <v>N1011</v>
      </c>
      <c r="E16" s="8" t="str">
        <f>IFERROR(product[[#This Row],[Product Name]],"")</f>
        <v>mouse</v>
      </c>
      <c r="F16" s="8">
        <f>IFERROR(product[[#This Row],[Cost]],"")</f>
        <v>500</v>
      </c>
      <c r="G16" s="8">
        <f>SUMIF(purchase[Product Name],Inventory[[#This Row],[Product Name]],purchase[Units])</f>
        <v>670</v>
      </c>
      <c r="H16" s="8">
        <f>IFERROR(SUMIF(sales[Product Name],Inventory[[#This Row],[Product Name]],sales[Units]),"")</f>
        <v>43</v>
      </c>
      <c r="I16" s="8">
        <f>Inventory[[#This Row],[P Units]]-Inventory[[#This Row],[S Units]]</f>
        <v>627</v>
      </c>
      <c r="J16" s="11">
        <f>IFERROR(Inventory[[#This Row],[Cost]]*Inventory[[#This Row],[Stock]],"")</f>
        <v>313500</v>
      </c>
      <c r="K16" s="8" t="str">
        <f>IFERROR(IF(Inventory[[#This Row],[Stock]]&lt;5,"📞 "&amp;Inventory[[#This Row],[Product Name]]&amp;" Need to re-order! PH " &amp; VLOOKUP(Inventory[[#This Row],[HSN Code]],vendorsdata[#All],4,0),""),"")</f>
        <v/>
      </c>
    </row>
    <row r="17" spans="4:11" ht="21" x14ac:dyDescent="0.3">
      <c r="D17" s="8" t="str">
        <f>IFERROR(product[[#This Row],[HSN Code]],"")</f>
        <v>N1012</v>
      </c>
      <c r="E17" s="8" t="str">
        <f>IFERROR(product[[#This Row],[Product Name]],"")</f>
        <v>ElectricFan</v>
      </c>
      <c r="F17" s="8">
        <f>IFERROR(product[[#This Row],[Cost]],"")</f>
        <v>1000</v>
      </c>
      <c r="G17" s="8">
        <f>SUMIF(purchase[Product Name],Inventory[[#This Row],[Product Name]],purchase[Units])</f>
        <v>600</v>
      </c>
      <c r="H17" s="8">
        <f>IFERROR(SUMIF(sales[Product Name],Inventory[[#This Row],[Product Name]],sales[Units]),"")</f>
        <v>20</v>
      </c>
      <c r="I17" s="8">
        <f>Inventory[[#This Row],[P Units]]-Inventory[[#This Row],[S Units]]</f>
        <v>580</v>
      </c>
      <c r="J17" s="11">
        <f>IFERROR(Inventory[[#This Row],[Cost]]*Inventory[[#This Row],[Stock]],"")</f>
        <v>580000</v>
      </c>
      <c r="K17" s="8" t="str">
        <f>IFERROR(IF(Inventory[[#This Row],[Stock]]&lt;5,"📞 "&amp;Inventory[[#This Row],[Product Name]]&amp;" Need to re-order! PH " &amp; VLOOKUP(Inventory[[#This Row],[HSN Code]],vendorsdata[#All],4,0),""),"")</f>
        <v/>
      </c>
    </row>
    <row r="18" spans="4:11" ht="21" x14ac:dyDescent="0.3">
      <c r="D18" s="8" t="str">
        <f>IFERROR(product[[#This Row],[HSN Code]],"")</f>
        <v>N1013</v>
      </c>
      <c r="E18" s="8" t="str">
        <f>IFERROR(product[[#This Row],[Product Name]],"")</f>
        <v>Wireless charge</v>
      </c>
      <c r="F18" s="8">
        <f>IFERROR(product[[#This Row],[Cost]],"")</f>
        <v>300</v>
      </c>
      <c r="G18" s="8">
        <f>SUMIF(purchase[Product Name],Inventory[[#This Row],[Product Name]],purchase[Units])</f>
        <v>300</v>
      </c>
      <c r="H18" s="8">
        <f>IFERROR(SUMIF(sales[Product Name],Inventory[[#This Row],[Product Name]],sales[Units]),"")</f>
        <v>100</v>
      </c>
      <c r="I18" s="8">
        <f>Inventory[[#This Row],[P Units]]-Inventory[[#This Row],[S Units]]</f>
        <v>200</v>
      </c>
      <c r="J18" s="11">
        <f>IFERROR(Inventory[[#This Row],[Cost]]*Inventory[[#This Row],[Stock]],"")</f>
        <v>60000</v>
      </c>
      <c r="K18" s="8" t="str">
        <f>IFERROR(IF(Inventory[[#This Row],[Stock]]&lt;5,"📞 "&amp;Inventory[[#This Row],[Product Name]]&amp;" Need to re-order! PH " &amp; VLOOKUP(Inventory[[#This Row],[HSN Code]],vendorsdata[#All],4,0),""),"")</f>
        <v/>
      </c>
    </row>
    <row r="19" spans="4:11" ht="21" x14ac:dyDescent="0.3">
      <c r="D19" s="8" t="str">
        <f>IFERROR(product[[#This Row],[HSN Code]],"")</f>
        <v>N1014</v>
      </c>
      <c r="E19" s="8" t="str">
        <f>IFERROR(product[[#This Row],[Product Name]],"")</f>
        <v>pc</v>
      </c>
      <c r="F19" s="8">
        <f>IFERROR(product[[#This Row],[Cost]],"")</f>
        <v>493</v>
      </c>
      <c r="G19" s="8">
        <f>SUMIF(purchase[Product Name],Inventory[[#This Row],[Product Name]],purchase[Units])</f>
        <v>280</v>
      </c>
      <c r="H19" s="8">
        <f>IFERROR(SUMIF(sales[Product Name],Inventory[[#This Row],[Product Name]],sales[Units]),"")</f>
        <v>34</v>
      </c>
      <c r="I19" s="8">
        <f>Inventory[[#This Row],[P Units]]-Inventory[[#This Row],[S Units]]</f>
        <v>246</v>
      </c>
      <c r="J19" s="11">
        <f>IFERROR(Inventory[[#This Row],[Cost]]*Inventory[[#This Row],[Stock]],"")</f>
        <v>121278</v>
      </c>
      <c r="K19" s="8" t="str">
        <f>IFERROR(IF(Inventory[[#This Row],[Stock]]&lt;5,"📞 "&amp;Inventory[[#This Row],[Product Name]]&amp;" Need to re-order! PH " &amp; VLOOKUP(Inventory[[#This Row],[HSN Code]],vendorsdata[#All],4,0),""),"")</f>
        <v/>
      </c>
    </row>
    <row r="20" spans="4:11" ht="21" x14ac:dyDescent="0.3">
      <c r="D20" s="8" t="s">
        <v>120</v>
      </c>
      <c r="E20" s="8" t="str">
        <f>IFERROR(product[[#This Row],[Product Name]],"")</f>
        <v>Mobile</v>
      </c>
      <c r="F20" s="8">
        <f>IFERROR(product[[#This Row],[Cost]],"")</f>
        <v>10000</v>
      </c>
      <c r="G20" s="8">
        <f>SUMIF(purchase[Product Name],Inventory[[#This Row],[Product Name]],purchase[Units])</f>
        <v>300</v>
      </c>
      <c r="H20" s="8">
        <f>IFERROR(SUMIF(sales[Product Name],Inventory[[#This Row],[Product Name]],sales[Units]),"")</f>
        <v>20</v>
      </c>
      <c r="I20" s="8">
        <f>Inventory[[#This Row],[P Units]]-Inventory[[#This Row],[S Units]]</f>
        <v>280</v>
      </c>
      <c r="J20" s="11">
        <f>IFERROR(Inventory[[#This Row],[Cost]]*Inventory[[#This Row],[Stock]],"")</f>
        <v>2800000</v>
      </c>
      <c r="K20" s="8" t="str">
        <f>IFERROR(IF(Inventory[[#This Row],[Stock]]&lt;5,"📞 "&amp;Inventory[[#This Row],[Product Name]]&amp;" Need to re-order! PH " &amp; VLOOKUP(Inventory[[#This Row],[HSN Code]],vendorsdata[#All],4,0),""),"")</f>
        <v/>
      </c>
    </row>
  </sheetData>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60177A-2CF8-480F-922D-18784D7EB05E}">
  <sheetPr codeName="Sheet8"/>
  <dimension ref="D1:H18"/>
  <sheetViews>
    <sheetView workbookViewId="0">
      <pane ySplit="7" topLeftCell="A8" activePane="bottomLeft" state="frozen"/>
      <selection activeCell="A5" sqref="A5"/>
      <selection pane="bottomLeft" activeCell="J12" sqref="J12"/>
    </sheetView>
  </sheetViews>
  <sheetFormatPr defaultColWidth="8.88671875" defaultRowHeight="14.4" x14ac:dyDescent="0.3"/>
  <cols>
    <col min="1" max="1" width="4.88671875" style="4" customWidth="1"/>
    <col min="2" max="2" width="25" style="4" customWidth="1"/>
    <col min="3" max="3" width="3" style="4" customWidth="1"/>
    <col min="4" max="4" width="15.88671875" style="4" bestFit="1" customWidth="1"/>
    <col min="5" max="5" width="21.44140625" style="4" bestFit="1" customWidth="1"/>
    <col min="6" max="6" width="21" style="4" bestFit="1" customWidth="1"/>
    <col min="7" max="7" width="15.5546875" style="4" bestFit="1" customWidth="1"/>
    <col min="8" max="8" width="24.6640625" style="4" bestFit="1" customWidth="1"/>
    <col min="9" max="16384" width="8.88671875" style="4"/>
  </cols>
  <sheetData>
    <row r="1" spans="4:8" ht="10.199999999999999" customHeight="1" x14ac:dyDescent="0.3"/>
    <row r="2" spans="4:8" ht="38.4" customHeight="1" x14ac:dyDescent="0.3"/>
    <row r="4" spans="4:8" ht="21" x14ac:dyDescent="0.3">
      <c r="D4" s="7" t="s">
        <v>102</v>
      </c>
      <c r="E4" s="7" t="s">
        <v>70</v>
      </c>
      <c r="F4" s="7" t="s">
        <v>142</v>
      </c>
      <c r="G4" s="7" t="s">
        <v>143</v>
      </c>
      <c r="H4" s="7" t="s">
        <v>4</v>
      </c>
    </row>
    <row r="5" spans="4:8" ht="21" x14ac:dyDescent="0.3">
      <c r="D5" s="8" t="s">
        <v>105</v>
      </c>
      <c r="E5" s="8" t="str">
        <f>IFERROR(VLOOKUP(vendorsdata[[#This Row],[HSN Code]],product[#All],2,0),"")</f>
        <v>Smart Watch</v>
      </c>
      <c r="F5" s="8" t="s">
        <v>131</v>
      </c>
      <c r="G5" s="8" t="s">
        <v>144</v>
      </c>
      <c r="H5" s="8" t="s">
        <v>11</v>
      </c>
    </row>
    <row r="6" spans="4:8" ht="21" x14ac:dyDescent="0.3">
      <c r="D6" s="8" t="s">
        <v>106</v>
      </c>
      <c r="E6" s="8" t="str">
        <f>IFERROR(VLOOKUP(vendorsdata[[#This Row],[HSN Code]],product[#All],2,0),"")</f>
        <v>Laptop HP xyz i5</v>
      </c>
      <c r="F6" s="8" t="s">
        <v>131</v>
      </c>
      <c r="G6" s="8" t="s">
        <v>144</v>
      </c>
      <c r="H6" s="8" t="s">
        <v>145</v>
      </c>
    </row>
    <row r="7" spans="4:8" ht="21" x14ac:dyDescent="0.3">
      <c r="D7" s="8" t="s">
        <v>107</v>
      </c>
      <c r="E7" s="8" t="str">
        <f>IFERROR(VLOOKUP(vendorsdata[[#This Row],[HSN Code]],product[#All],2,0),"")</f>
        <v>Wireless Printer</v>
      </c>
      <c r="F7" s="8" t="s">
        <v>131</v>
      </c>
      <c r="G7" s="8" t="s">
        <v>144</v>
      </c>
      <c r="H7" s="8" t="s">
        <v>146</v>
      </c>
    </row>
    <row r="8" spans="4:8" ht="21" x14ac:dyDescent="0.3">
      <c r="D8" s="8" t="s">
        <v>108</v>
      </c>
      <c r="E8" s="8" t="str">
        <f>IFERROR(VLOOKUP(vendorsdata[[#This Row],[HSN Code]],product[#All],2,0),"")</f>
        <v>Desktop</v>
      </c>
      <c r="F8" s="8" t="s">
        <v>133</v>
      </c>
      <c r="G8" s="8" t="s">
        <v>147</v>
      </c>
      <c r="H8" s="8" t="s">
        <v>20</v>
      </c>
    </row>
    <row r="9" spans="4:8" ht="21" x14ac:dyDescent="0.3">
      <c r="D9" s="8" t="s">
        <v>109</v>
      </c>
      <c r="E9" s="8" t="str">
        <f>IFERROR(VLOOKUP(vendorsdata[[#This Row],[HSN Code]],product[#All],2,0),"")</f>
        <v>Mouse</v>
      </c>
      <c r="F9" s="8" t="s">
        <v>133</v>
      </c>
      <c r="G9" s="8" t="s">
        <v>147</v>
      </c>
      <c r="H9" s="8" t="s">
        <v>148</v>
      </c>
    </row>
    <row r="10" spans="4:8" ht="21" x14ac:dyDescent="0.3">
      <c r="D10" s="8" t="s">
        <v>110</v>
      </c>
      <c r="E10" s="8" t="str">
        <f>IFERROR(VLOOKUP(vendorsdata[[#This Row],[HSN Code]],product[#All],2,0),"")</f>
        <v>Rgb Keyboard</v>
      </c>
      <c r="F10" s="8" t="s">
        <v>133</v>
      </c>
      <c r="G10" s="8" t="s">
        <v>147</v>
      </c>
      <c r="H10" s="8" t="s">
        <v>149</v>
      </c>
    </row>
    <row r="11" spans="4:8" ht="21" x14ac:dyDescent="0.3">
      <c r="D11" s="8" t="s">
        <v>111</v>
      </c>
      <c r="E11" s="8" t="str">
        <f>IFERROR(VLOOKUP(vendorsdata[[#This Row],[HSN Code]],product[#All],2,0),"")</f>
        <v>Camera</v>
      </c>
      <c r="F11" s="8" t="s">
        <v>133</v>
      </c>
      <c r="G11" s="8" t="s">
        <v>147</v>
      </c>
      <c r="H11" s="8" t="s">
        <v>150</v>
      </c>
    </row>
    <row r="12" spans="4:8" ht="21" x14ac:dyDescent="0.3">
      <c r="D12" s="8" t="s">
        <v>112</v>
      </c>
      <c r="E12" s="8" t="str">
        <f>IFERROR(VLOOKUP(vendorsdata[[#This Row],[HSN Code]],product[#All],2,0),"")</f>
        <v>Headphones</v>
      </c>
      <c r="F12" s="8" t="s">
        <v>151</v>
      </c>
      <c r="G12" s="8" t="s">
        <v>152</v>
      </c>
      <c r="H12" s="8" t="s">
        <v>153</v>
      </c>
    </row>
    <row r="13" spans="4:8" ht="21" x14ac:dyDescent="0.3">
      <c r="D13" s="8" t="s">
        <v>113</v>
      </c>
      <c r="E13" s="8" t="str">
        <f>IFERROR(VLOOKUP(vendorsdata[[#This Row],[HSN Code]],product[#All],2,0),"")</f>
        <v>Speakers</v>
      </c>
      <c r="F13" s="8" t="s">
        <v>151</v>
      </c>
      <c r="G13" s="8" t="s">
        <v>152</v>
      </c>
      <c r="H13" s="8" t="s">
        <v>154</v>
      </c>
    </row>
    <row r="14" spans="4:8" ht="21" x14ac:dyDescent="0.3">
      <c r="D14" s="8" t="s">
        <v>114</v>
      </c>
      <c r="E14" s="8" t="str">
        <f>IFERROR(VLOOKUP(vendorsdata[[#This Row],[HSN Code]],product[#All],2,0),"")</f>
        <v>Tablets</v>
      </c>
      <c r="F14" s="8" t="s">
        <v>151</v>
      </c>
      <c r="G14" s="8" t="s">
        <v>152</v>
      </c>
      <c r="H14" s="8" t="s">
        <v>155</v>
      </c>
    </row>
    <row r="15" spans="4:8" ht="42" x14ac:dyDescent="0.3">
      <c r="D15" s="8" t="s">
        <v>115</v>
      </c>
      <c r="E15" s="8" t="str">
        <f>IFERROR(VLOOKUP(vendorsdata[[#This Row],[HSN Code]],product[#All],2,0),"")</f>
        <v>Earphone</v>
      </c>
      <c r="F15" s="8" t="s">
        <v>132</v>
      </c>
      <c r="G15" s="8" t="s">
        <v>156</v>
      </c>
      <c r="H15" s="8" t="s">
        <v>157</v>
      </c>
    </row>
    <row r="16" spans="4:8" ht="21" x14ac:dyDescent="0.3">
      <c r="D16" s="8"/>
      <c r="E16" s="8" t="str">
        <f>IFERROR(VLOOKUP(vendorsdata[[#This Row],[HSN Code]],product[#All],2,0),"")</f>
        <v/>
      </c>
      <c r="F16" s="8"/>
      <c r="G16" s="8"/>
      <c r="H16" s="8"/>
    </row>
    <row r="17" spans="4:8" ht="21" x14ac:dyDescent="0.3">
      <c r="D17" s="8"/>
      <c r="E17" s="8" t="str">
        <f>IFERROR(VLOOKUP(vendorsdata[[#This Row],[HSN Code]],product[#All],2,0),"")</f>
        <v/>
      </c>
      <c r="F17" s="8"/>
      <c r="G17" s="8"/>
      <c r="H17" s="8"/>
    </row>
    <row r="18" spans="4:8" ht="21" x14ac:dyDescent="0.3">
      <c r="D18" s="8"/>
      <c r="E18" s="8" t="str">
        <f>IFERROR(VLOOKUP(vendorsdata[[#This Row],[HSN Code]],product[#All],2,0),"")</f>
        <v/>
      </c>
      <c r="F18" s="8"/>
      <c r="G18" s="8"/>
      <c r="H18" s="8"/>
    </row>
  </sheetData>
  <dataValidations count="1">
    <dataValidation type="list" allowBlank="1" showInputMessage="1" showErrorMessage="1" sqref="D5:D18" xr:uid="{9FD247A9-16B3-49CB-9342-B8C373038417}">
      <formula1>HSNCODE</formula1>
    </dataValidation>
  </dataValidations>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360E84-B1D1-4D17-87CE-22A140E2E3A7}">
  <sheetPr codeName="Sheet9"/>
  <dimension ref="D1:R26"/>
  <sheetViews>
    <sheetView topLeftCell="B1" workbookViewId="0">
      <selection activeCell="K30" sqref="K30"/>
    </sheetView>
  </sheetViews>
  <sheetFormatPr defaultColWidth="8.88671875" defaultRowHeight="14.4" x14ac:dyDescent="0.3"/>
  <cols>
    <col min="1" max="1" width="4.88671875" style="4" customWidth="1"/>
    <col min="2" max="2" width="25" style="4" customWidth="1"/>
    <col min="3" max="3" width="2.6640625" style="4" customWidth="1"/>
    <col min="4" max="4" width="12.88671875" style="4" bestFit="1" customWidth="1"/>
    <col min="5" max="5" width="18.109375" style="4" bestFit="1" customWidth="1"/>
    <col min="6" max="6" width="15.88671875" style="4" bestFit="1" customWidth="1"/>
    <col min="7" max="7" width="21.44140625" style="4" bestFit="1" customWidth="1"/>
    <col min="8" max="8" width="16" style="27" bestFit="1" customWidth="1"/>
    <col min="9" max="9" width="9.109375" style="4" bestFit="1" customWidth="1"/>
    <col min="10" max="10" width="18.6640625" style="4" bestFit="1" customWidth="1"/>
    <col min="11" max="11" width="10" style="4" bestFit="1" customWidth="1"/>
    <col min="12" max="12" width="15.88671875" style="4" bestFit="1" customWidth="1"/>
    <col min="13" max="13" width="18.6640625" style="4" bestFit="1" customWidth="1"/>
    <col min="14" max="14" width="20.6640625" style="30" bestFit="1" customWidth="1"/>
    <col min="15" max="15" width="23.88671875" style="32" bestFit="1" customWidth="1"/>
    <col min="16" max="16" width="15.33203125" style="4" bestFit="1" customWidth="1"/>
    <col min="17" max="16384" width="8.88671875" style="4"/>
  </cols>
  <sheetData>
    <row r="1" spans="4:18" ht="16.2" customHeight="1" x14ac:dyDescent="0.3">
      <c r="H1" s="4"/>
      <c r="N1" s="4"/>
      <c r="O1" s="4"/>
    </row>
    <row r="2" spans="4:18" ht="38.4" customHeight="1" x14ac:dyDescent="0.3">
      <c r="H2" s="4"/>
      <c r="N2" s="4"/>
      <c r="O2" s="4"/>
      <c r="R2" s="4" t="e">
        <f ca="1">OFFSET(sales[[#Headers],[Cust_ID]],0,0,COUNTA($D$4:$D$1048576),COUNTA($D$4:$XFD$4))</f>
        <v>#VALUE!</v>
      </c>
    </row>
    <row r="3" spans="4:18" x14ac:dyDescent="0.3">
      <c r="H3" s="4"/>
      <c r="N3" s="4"/>
      <c r="O3" s="4"/>
    </row>
    <row r="4" spans="4:18" ht="21" x14ac:dyDescent="0.3">
      <c r="D4" s="18" t="s">
        <v>1</v>
      </c>
      <c r="E4" s="18" t="s">
        <v>158</v>
      </c>
      <c r="F4" s="18" t="s">
        <v>102</v>
      </c>
      <c r="G4" s="18" t="s">
        <v>70</v>
      </c>
      <c r="H4" s="25" t="s">
        <v>124</v>
      </c>
      <c r="I4" s="19" t="s">
        <v>159</v>
      </c>
      <c r="J4" s="18" t="s">
        <v>160</v>
      </c>
      <c r="K4" s="18" t="s">
        <v>125</v>
      </c>
      <c r="L4" s="18" t="s">
        <v>161</v>
      </c>
      <c r="M4" s="18" t="s">
        <v>104</v>
      </c>
      <c r="N4" s="28" t="s">
        <v>162</v>
      </c>
      <c r="O4" s="18" t="s">
        <v>163</v>
      </c>
    </row>
    <row r="5" spans="4:18" ht="21" x14ac:dyDescent="0.3">
      <c r="D5" s="20">
        <v>102</v>
      </c>
      <c r="E5" s="20" t="str">
        <f>IFERROR(VLOOKUP(sales[[#This Row],[Cust_ID]],customersdata[#All],2,0),"")</f>
        <v>MK Tech.</v>
      </c>
      <c r="F5" s="20" t="s">
        <v>105</v>
      </c>
      <c r="G5" s="20" t="str">
        <f>IFERROR(VLOOKUP(sales[[#This Row],[HSN Code]],product[#All],2,0),"")</f>
        <v>Smart Watch</v>
      </c>
      <c r="H5" s="26">
        <v>45292</v>
      </c>
      <c r="I5" s="21" t="str">
        <f>TEXT(sales[[#This Row],[Date]],"yyy")</f>
        <v>2024</v>
      </c>
      <c r="J5" s="20">
        <f>IFERROR(VLOOKUP(sales[[#This Row],[HSN Code]],Inventory[#All],6,0),"")</f>
        <v>1109</v>
      </c>
      <c r="K5" s="20">
        <v>33</v>
      </c>
      <c r="L5" s="20">
        <f>VLOOKUP(sales[[#This Row],[HSN Code]],product[#All],3,0)</f>
        <v>980</v>
      </c>
      <c r="M5" s="20">
        <f>IFERROR(VLOOKUP(sales[[#This Row],[HSN Code]],product[#All],4,0),"")</f>
        <v>1176</v>
      </c>
      <c r="N5" s="29">
        <f>IFERROR(sales[[#This Row],[Units]]*sales[[#This Row],[Selling Price]],"")</f>
        <v>38808</v>
      </c>
      <c r="O5" s="31">
        <f>IFERROR(sales[[#This Row],[Units]]*sales[[#This Row],[Cost price]],"")</f>
        <v>32340</v>
      </c>
    </row>
    <row r="6" spans="4:18" ht="21" x14ac:dyDescent="0.3">
      <c r="D6" s="20">
        <v>1011</v>
      </c>
      <c r="E6" s="20" t="str">
        <f>IFERROR(VLOOKUP(sales[[#This Row],[Cust_ID]],customersdata[#All],2,0),"")</f>
        <v>krishna</v>
      </c>
      <c r="F6" s="20" t="s">
        <v>105</v>
      </c>
      <c r="G6" s="20" t="str">
        <f>IFERROR(VLOOKUP(sales[[#This Row],[HSN Code]],product[#All],2,0),"")</f>
        <v>Smart Watch</v>
      </c>
      <c r="H6" s="26">
        <v>45293</v>
      </c>
      <c r="I6" s="21" t="str">
        <f>TEXT(sales[[#This Row],[Date]],"yyy")</f>
        <v>2024</v>
      </c>
      <c r="J6" s="20">
        <f>IFERROR(VLOOKUP(sales[[#This Row],[HSN Code]],Inventory[#All],6,0),"")</f>
        <v>1109</v>
      </c>
      <c r="K6" s="20">
        <v>37</v>
      </c>
      <c r="L6" s="20">
        <f>VLOOKUP(sales[[#This Row],[HSN Code]],product[#All],3,0)</f>
        <v>980</v>
      </c>
      <c r="M6" s="20">
        <f>IFERROR(VLOOKUP(sales[[#This Row],[HSN Code]],product[#All],4,0),"")</f>
        <v>1176</v>
      </c>
      <c r="N6" s="29">
        <f>IFERROR(sales[[#This Row],[Units]]*sales[[#This Row],[Selling Price]],"")</f>
        <v>43512</v>
      </c>
      <c r="O6" s="31">
        <f>IFERROR(sales[[#This Row],[Units]]*sales[[#This Row],[Cost price]],"")</f>
        <v>36260</v>
      </c>
    </row>
    <row r="7" spans="4:18" ht="21" x14ac:dyDescent="0.3">
      <c r="D7" s="20">
        <v>104</v>
      </c>
      <c r="E7" s="20" t="str">
        <f>IFERROR(VLOOKUP(sales[[#This Row],[Cust_ID]],customersdata[#All],2,0),"")</f>
        <v>Rajesh Kumar</v>
      </c>
      <c r="F7" s="20" t="s">
        <v>108</v>
      </c>
      <c r="G7" s="20" t="str">
        <f>IFERROR(VLOOKUP(sales[[#This Row],[HSN Code]],product[#All],2,0),"")</f>
        <v>Desktop</v>
      </c>
      <c r="H7" s="26">
        <v>45294</v>
      </c>
      <c r="I7" s="21" t="str">
        <f>TEXT(sales[[#This Row],[Date]],"yyy")</f>
        <v>2024</v>
      </c>
      <c r="J7" s="20">
        <f>IFERROR(VLOOKUP(sales[[#This Row],[HSN Code]],Inventory[#All],6,0),"")</f>
        <v>598</v>
      </c>
      <c r="K7" s="20">
        <v>10</v>
      </c>
      <c r="L7" s="20">
        <f>VLOOKUP(sales[[#This Row],[HSN Code]],product[#All],3,0)</f>
        <v>21000</v>
      </c>
      <c r="M7" s="20">
        <f>IFERROR(VLOOKUP(sales[[#This Row],[HSN Code]],product[#All],4,0),"")</f>
        <v>25200</v>
      </c>
      <c r="N7" s="29">
        <f>IFERROR(sales[[#This Row],[Units]]*sales[[#This Row],[Selling Price]],"")</f>
        <v>252000</v>
      </c>
      <c r="O7" s="31">
        <f>IFERROR(sales[[#This Row],[Units]]*sales[[#This Row],[Cost price]],"")</f>
        <v>210000</v>
      </c>
    </row>
    <row r="8" spans="4:18" ht="21" x14ac:dyDescent="0.3">
      <c r="D8" s="20">
        <v>102</v>
      </c>
      <c r="E8" s="20" t="str">
        <f>IFERROR(VLOOKUP(sales[[#This Row],[Cust_ID]],customersdata[#All],2,0),"")</f>
        <v>MK Tech.</v>
      </c>
      <c r="F8" s="20" t="s">
        <v>106</v>
      </c>
      <c r="G8" s="20" t="str">
        <f>IFERROR(VLOOKUP(sales[[#This Row],[HSN Code]],product[#All],2,0),"")</f>
        <v>Laptop HP xyz i5</v>
      </c>
      <c r="H8" s="26">
        <v>45355</v>
      </c>
      <c r="I8" s="21" t="str">
        <f>TEXT(sales[[#This Row],[Date]],"yyy")</f>
        <v>2024</v>
      </c>
      <c r="J8" s="20">
        <f>IFERROR(VLOOKUP(sales[[#This Row],[HSN Code]],Inventory[#All],6,0),"")</f>
        <v>331</v>
      </c>
      <c r="K8" s="20">
        <v>3</v>
      </c>
      <c r="L8" s="20">
        <f>VLOOKUP(sales[[#This Row],[HSN Code]],product[#All],3,0)</f>
        <v>34500</v>
      </c>
      <c r="M8" s="20">
        <f>IFERROR(VLOOKUP(sales[[#This Row],[HSN Code]],product[#All],4,0),"")</f>
        <v>41400</v>
      </c>
      <c r="N8" s="29">
        <f>IFERROR(sales[[#This Row],[Units]]*sales[[#This Row],[Selling Price]],"")</f>
        <v>124200</v>
      </c>
      <c r="O8" s="31">
        <f>IFERROR(sales[[#This Row],[Units]]*sales[[#This Row],[Cost price]],"")</f>
        <v>103500</v>
      </c>
    </row>
    <row r="9" spans="4:18" ht="21" x14ac:dyDescent="0.3">
      <c r="D9" s="20">
        <v>100</v>
      </c>
      <c r="E9" s="20" t="str">
        <f>IFERROR(VLOOKUP(sales[[#This Row],[Cust_ID]],customersdata[#All],2,0),"")</f>
        <v>Ram sales</v>
      </c>
      <c r="F9" s="20" t="s">
        <v>114</v>
      </c>
      <c r="G9" s="20" t="str">
        <f>IFERROR(VLOOKUP(sales[[#This Row],[HSN Code]],product[#All],2,0),"")</f>
        <v>Tablets</v>
      </c>
      <c r="H9" s="26">
        <v>45356</v>
      </c>
      <c r="I9" s="21" t="str">
        <f>TEXT(sales[[#This Row],[Date]],"yyy")</f>
        <v>2024</v>
      </c>
      <c r="J9" s="20">
        <f>IFERROR(VLOOKUP(sales[[#This Row],[HSN Code]],Inventory[#All],6,0),"")</f>
        <v>236</v>
      </c>
      <c r="K9" s="20">
        <v>27</v>
      </c>
      <c r="L9" s="20">
        <f>VLOOKUP(sales[[#This Row],[HSN Code]],product[#All],3,0)</f>
        <v>23500</v>
      </c>
      <c r="M9" s="20">
        <f>IFERROR(VLOOKUP(sales[[#This Row],[HSN Code]],product[#All],4,0),"")</f>
        <v>28200</v>
      </c>
      <c r="N9" s="29">
        <f>IFERROR(sales[[#This Row],[Units]]*sales[[#This Row],[Selling Price]],"")</f>
        <v>761400</v>
      </c>
      <c r="O9" s="31">
        <f>IFERROR(sales[[#This Row],[Units]]*sales[[#This Row],[Cost price]],"")</f>
        <v>634500</v>
      </c>
    </row>
    <row r="10" spans="4:18" ht="21" x14ac:dyDescent="0.3">
      <c r="D10" s="20">
        <v>106</v>
      </c>
      <c r="E10" s="20" t="str">
        <f>IFERROR(VLOOKUP(sales[[#This Row],[Cust_ID]],customersdata[#All],2,0),"")</f>
        <v>Jain Tel.</v>
      </c>
      <c r="F10" s="20" t="s">
        <v>110</v>
      </c>
      <c r="G10" s="20" t="str">
        <f>IFERROR(VLOOKUP(sales[[#This Row],[HSN Code]],product[#All],2,0),"")</f>
        <v>Rgb Keyboard</v>
      </c>
      <c r="H10" s="26">
        <v>45297</v>
      </c>
      <c r="I10" s="21" t="str">
        <f>TEXT(sales[[#This Row],[Date]],"yyy")</f>
        <v>2024</v>
      </c>
      <c r="J10" s="20">
        <f>IFERROR(VLOOKUP(sales[[#This Row],[HSN Code]],Inventory[#All],6,0),"")</f>
        <v>504</v>
      </c>
      <c r="K10" s="20">
        <v>55</v>
      </c>
      <c r="L10" s="20">
        <f>VLOOKUP(sales[[#This Row],[HSN Code]],product[#All],3,0)</f>
        <v>340</v>
      </c>
      <c r="M10" s="20">
        <f>IFERROR(VLOOKUP(sales[[#This Row],[HSN Code]],product[#All],4,0),"")</f>
        <v>408</v>
      </c>
      <c r="N10" s="29">
        <f>IFERROR(sales[[#This Row],[Units]]*sales[[#This Row],[Selling Price]],"")</f>
        <v>22440</v>
      </c>
      <c r="O10" s="31">
        <f>IFERROR(sales[[#This Row],[Units]]*sales[[#This Row],[Cost price]],"")</f>
        <v>18700</v>
      </c>
    </row>
    <row r="11" spans="4:18" ht="21" x14ac:dyDescent="0.3">
      <c r="D11" s="20">
        <v>304</v>
      </c>
      <c r="E11" s="20" t="str">
        <f>IFERROR(VLOOKUP(sales[[#This Row],[Cust_ID]],customersdata[#All],2,0),"")</f>
        <v>omsia</v>
      </c>
      <c r="F11" s="20" t="s">
        <v>105</v>
      </c>
      <c r="G11" s="20" t="str">
        <f>IFERROR(VLOOKUP(sales[[#This Row],[HSN Code]],product[#All],2,0),"")</f>
        <v>Smart Watch</v>
      </c>
      <c r="H11" s="26">
        <v>45480</v>
      </c>
      <c r="I11" s="21" t="str">
        <f>TEXT(sales[[#This Row],[Date]],"yyy")</f>
        <v>2024</v>
      </c>
      <c r="J11" s="20">
        <f>IFERROR(VLOOKUP(sales[[#This Row],[HSN Code]],Inventory[#All],6,0),"")</f>
        <v>1109</v>
      </c>
      <c r="K11" s="20">
        <v>33</v>
      </c>
      <c r="L11" s="20">
        <f>VLOOKUP(sales[[#This Row],[HSN Code]],product[#All],3,0)</f>
        <v>980</v>
      </c>
      <c r="M11" s="20">
        <f>IFERROR(VLOOKUP(sales[[#This Row],[HSN Code]],product[#All],4,0),"")</f>
        <v>1176</v>
      </c>
      <c r="N11" s="29">
        <f>IFERROR(sales[[#This Row],[Units]]*sales[[#This Row],[Selling Price]],"")</f>
        <v>38808</v>
      </c>
      <c r="O11" s="31">
        <f>IFERROR(sales[[#This Row],[Units]]*sales[[#This Row],[Cost price]],"")</f>
        <v>32340</v>
      </c>
    </row>
    <row r="12" spans="4:18" ht="21" x14ac:dyDescent="0.3">
      <c r="D12" s="20">
        <v>106</v>
      </c>
      <c r="E12" s="20" t="str">
        <f>IFERROR(VLOOKUP(sales[[#This Row],[Cust_ID]],customersdata[#All],2,0),"")</f>
        <v>Jain Tel.</v>
      </c>
      <c r="F12" s="20" t="s">
        <v>105</v>
      </c>
      <c r="G12" s="20" t="str">
        <f>IFERROR(VLOOKUP(sales[[#This Row],[HSN Code]],product[#All],2,0),"")</f>
        <v>Smart Watch</v>
      </c>
      <c r="H12" s="26">
        <v>45547</v>
      </c>
      <c r="I12" s="21" t="str">
        <f>TEXT(sales[[#This Row],[Date]],"yyy")</f>
        <v>2024</v>
      </c>
      <c r="J12" s="20">
        <f>IFERROR(VLOOKUP(sales[[#This Row],[HSN Code]],Inventory[#All],6,0),"")</f>
        <v>1109</v>
      </c>
      <c r="K12" s="20">
        <v>34</v>
      </c>
      <c r="L12" s="20">
        <f>VLOOKUP(sales[[#This Row],[HSN Code]],product[#All],3,0)</f>
        <v>980</v>
      </c>
      <c r="M12" s="20">
        <f>IFERROR(VLOOKUP(sales[[#This Row],[HSN Code]],product[#All],4,0),"")</f>
        <v>1176</v>
      </c>
      <c r="N12" s="29">
        <f>IFERROR(sales[[#This Row],[Units]]*sales[[#This Row],[Selling Price]],"")</f>
        <v>39984</v>
      </c>
      <c r="O12" s="31">
        <f>IFERROR(sales[[#This Row],[Units]]*sales[[#This Row],[Cost price]],"")</f>
        <v>33320</v>
      </c>
    </row>
    <row r="13" spans="4:18" ht="21" x14ac:dyDescent="0.3">
      <c r="D13" s="20">
        <v>106</v>
      </c>
      <c r="E13" s="20" t="str">
        <f>IFERROR(VLOOKUP(sales[[#This Row],[Cust_ID]],customersdata[#All],2,0),"")</f>
        <v>Jain Tel.</v>
      </c>
      <c r="F13" s="20" t="s">
        <v>105</v>
      </c>
      <c r="G13" s="20" t="str">
        <f>IFERROR(VLOOKUP(sales[[#This Row],[HSN Code]],product[#All],2,0),"")</f>
        <v>Smart Watch</v>
      </c>
      <c r="H13" s="26">
        <v>45722</v>
      </c>
      <c r="I13" s="21" t="str">
        <f>TEXT(sales[[#This Row],[Date]],"yyy")</f>
        <v>2025</v>
      </c>
      <c r="J13" s="20">
        <f>IFERROR(VLOOKUP(sales[[#This Row],[HSN Code]],Inventory[#All],6,0),"")</f>
        <v>1109</v>
      </c>
      <c r="K13" s="20">
        <v>43</v>
      </c>
      <c r="L13" s="20">
        <f>VLOOKUP(sales[[#This Row],[HSN Code]],product[#All],3,0)</f>
        <v>980</v>
      </c>
      <c r="M13" s="20">
        <f>IFERROR(VLOOKUP(sales[[#This Row],[HSN Code]],product[#All],4,0),"")</f>
        <v>1176</v>
      </c>
      <c r="N13" s="29">
        <f>IFERROR(sales[[#This Row],[Units]]*sales[[#This Row],[Selling Price]],"")</f>
        <v>50568</v>
      </c>
      <c r="O13" s="31">
        <f>IFERROR(sales[[#This Row],[Units]]*sales[[#This Row],[Cost price]],"")</f>
        <v>42140</v>
      </c>
    </row>
    <row r="14" spans="4:18" ht="21" x14ac:dyDescent="0.3">
      <c r="D14" s="20">
        <v>93</v>
      </c>
      <c r="E14" s="20" t="str">
        <f>IFERROR(VLOOKUP(sales[[#This Row],[Cust_ID]],customersdata[#All],2,0),"")</f>
        <v>scd</v>
      </c>
      <c r="F14" s="20" t="s">
        <v>114</v>
      </c>
      <c r="G14" s="20" t="str">
        <f>IFERROR(VLOOKUP(sales[[#This Row],[HSN Code]],product[#All],2,0),"")</f>
        <v>Tablets</v>
      </c>
      <c r="H14" s="26">
        <v>45877</v>
      </c>
      <c r="I14" s="21" t="str">
        <f>TEXT(sales[[#This Row],[Date]],"yyy")</f>
        <v>2025</v>
      </c>
      <c r="J14" s="20">
        <f>IFERROR(VLOOKUP(sales[[#This Row],[HSN Code]],Inventory[#All],6,0),"")</f>
        <v>236</v>
      </c>
      <c r="K14" s="20">
        <v>37</v>
      </c>
      <c r="L14" s="20">
        <f>VLOOKUP(sales[[#This Row],[HSN Code]],product[#All],3,0)</f>
        <v>23500</v>
      </c>
      <c r="M14" s="20">
        <f>IFERROR(VLOOKUP(sales[[#This Row],[HSN Code]],product[#All],4,0),"")</f>
        <v>28200</v>
      </c>
      <c r="N14" s="29">
        <f>IFERROR(sales[[#This Row],[Units]]*sales[[#This Row],[Selling Price]],"")</f>
        <v>1043400</v>
      </c>
      <c r="O14" s="31">
        <f>IFERROR(sales[[#This Row],[Units]]*sales[[#This Row],[Cost price]],"")</f>
        <v>869500</v>
      </c>
    </row>
    <row r="15" spans="4:18" ht="21" x14ac:dyDescent="0.3">
      <c r="D15" s="20">
        <v>103</v>
      </c>
      <c r="E15" s="20" t="str">
        <f>IFERROR(VLOOKUP(sales[[#This Row],[Cust_ID]],customersdata[#All],2,0),"")</f>
        <v>99store</v>
      </c>
      <c r="F15" s="20" t="s">
        <v>109</v>
      </c>
      <c r="G15" s="20" t="str">
        <f>IFERROR(VLOOKUP(sales[[#This Row],[HSN Code]],product[#All],2,0),"")</f>
        <v>Mouse</v>
      </c>
      <c r="H15" s="26">
        <v>45785</v>
      </c>
      <c r="I15" s="21" t="str">
        <f>TEXT(sales[[#This Row],[Date]],"yyy")</f>
        <v>2025</v>
      </c>
      <c r="J15" s="20">
        <f>IFERROR(VLOOKUP(sales[[#This Row],[HSN Code]],Inventory[#All],6,0),"")</f>
        <v>627</v>
      </c>
      <c r="K15" s="20">
        <v>43</v>
      </c>
      <c r="L15" s="20">
        <f>VLOOKUP(sales[[#This Row],[HSN Code]],product[#All],3,0)</f>
        <v>200</v>
      </c>
      <c r="M15" s="20">
        <f>IFERROR(VLOOKUP(sales[[#This Row],[HSN Code]],product[#All],4,0),"")</f>
        <v>240</v>
      </c>
      <c r="N15" s="29">
        <f>IFERROR(sales[[#This Row],[Units]]*sales[[#This Row],[Selling Price]],"")</f>
        <v>10320</v>
      </c>
      <c r="O15" s="31">
        <f>IFERROR(sales[[#This Row],[Units]]*sales[[#This Row],[Cost price]],"")</f>
        <v>8600</v>
      </c>
    </row>
    <row r="16" spans="4:18" ht="21" x14ac:dyDescent="0.3">
      <c r="D16" s="20">
        <v>1011</v>
      </c>
      <c r="E16" s="20" t="str">
        <f>IFERROR(VLOOKUP(sales[[#This Row],[Cust_ID]],customersdata[#All],2,0),"")</f>
        <v>krishna</v>
      </c>
      <c r="F16" s="20" t="s">
        <v>112</v>
      </c>
      <c r="G16" s="20" t="str">
        <f>IFERROR(VLOOKUP(sales[[#This Row],[HSN Code]],product[#All],2,0),"")</f>
        <v>Headphones</v>
      </c>
      <c r="H16" s="26">
        <v>45665</v>
      </c>
      <c r="I16" s="21" t="str">
        <f>TEXT(sales[[#This Row],[Date]],"yyy")</f>
        <v>2025</v>
      </c>
      <c r="J16" s="20">
        <f>IFERROR(VLOOKUP(sales[[#This Row],[HSN Code]],Inventory[#All],6,0),"")</f>
        <v>392</v>
      </c>
      <c r="K16" s="20">
        <v>114</v>
      </c>
      <c r="L16" s="20">
        <f>VLOOKUP(sales[[#This Row],[HSN Code]],product[#All],3,0)</f>
        <v>799</v>
      </c>
      <c r="M16" s="20">
        <f>IFERROR(VLOOKUP(sales[[#This Row],[HSN Code]],product[#All],4,0),"")</f>
        <v>958.8</v>
      </c>
      <c r="N16" s="29">
        <f>IFERROR(sales[[#This Row],[Units]]*sales[[#This Row],[Selling Price]],"")</f>
        <v>109303.2</v>
      </c>
      <c r="O16" s="31">
        <f>IFERROR(sales[[#This Row],[Units]]*sales[[#This Row],[Cost price]],"")</f>
        <v>91086</v>
      </c>
    </row>
    <row r="17" spans="4:15" ht="21" x14ac:dyDescent="0.3">
      <c r="D17" s="20">
        <v>303</v>
      </c>
      <c r="E17" s="20" t="str">
        <f>IFERROR(VLOOKUP(sales[[#This Row],[Cust_ID]],customersdata[#All],2,0),"")</f>
        <v>haariom</v>
      </c>
      <c r="F17" s="20" t="s">
        <v>106</v>
      </c>
      <c r="G17" s="20" t="str">
        <f>IFERROR(VLOOKUP(sales[[#This Row],[HSN Code]],product[#All],2,0),"")</f>
        <v>Laptop HP xyz i5</v>
      </c>
      <c r="H17" s="26">
        <v>45999</v>
      </c>
      <c r="I17" s="21" t="str">
        <f>TEXT(sales[[#This Row],[Date]],"yyy")</f>
        <v>2025</v>
      </c>
      <c r="J17" s="20">
        <f>IFERROR(VLOOKUP(sales[[#This Row],[HSN Code]],Inventory[#All],6,0),"")</f>
        <v>331</v>
      </c>
      <c r="K17" s="20">
        <v>123</v>
      </c>
      <c r="L17" s="20">
        <f>VLOOKUP(sales[[#This Row],[HSN Code]],product[#All],3,0)</f>
        <v>34500</v>
      </c>
      <c r="M17" s="20">
        <f>IFERROR(VLOOKUP(sales[[#This Row],[HSN Code]],product[#All],4,0),"")</f>
        <v>41400</v>
      </c>
      <c r="N17" s="29">
        <f>IFERROR(sales[[#This Row],[Units]]*sales[[#This Row],[Selling Price]],"")</f>
        <v>5092200</v>
      </c>
      <c r="O17" s="31">
        <f>IFERROR(sales[[#This Row],[Units]]*sales[[#This Row],[Cost price]],"")</f>
        <v>4243500</v>
      </c>
    </row>
    <row r="18" spans="4:15" ht="21" x14ac:dyDescent="0.3">
      <c r="D18" s="20">
        <v>3434</v>
      </c>
      <c r="E18" s="20" t="str">
        <f>IFERROR(VLOOKUP(sales[[#This Row],[Cust_ID]],customersdata[#All],2,0),"")</f>
        <v>hii</v>
      </c>
      <c r="F18" s="20" t="s">
        <v>111</v>
      </c>
      <c r="G18" s="20" t="str">
        <f>IFERROR(VLOOKUP(sales[[#This Row],[HSN Code]],product[#All],2,0),"")</f>
        <v>Camera</v>
      </c>
      <c r="H18" s="26">
        <v>45759</v>
      </c>
      <c r="I18" s="21" t="str">
        <f>TEXT(sales[[#This Row],[Date]],"yyy")</f>
        <v>2025</v>
      </c>
      <c r="J18" s="20">
        <f>IFERROR(VLOOKUP(sales[[#This Row],[HSN Code]],Inventory[#All],6,0),"")</f>
        <v>-115</v>
      </c>
      <c r="K18" s="20">
        <v>82</v>
      </c>
      <c r="L18" s="20">
        <f>VLOOKUP(sales[[#This Row],[HSN Code]],product[#All],3,0)</f>
        <v>52000</v>
      </c>
      <c r="M18" s="20">
        <f>IFERROR(VLOOKUP(sales[[#This Row],[HSN Code]],product[#All],4,0),"")</f>
        <v>62400</v>
      </c>
      <c r="N18" s="29">
        <f>IFERROR(sales[[#This Row],[Units]]*sales[[#This Row],[Selling Price]],"")</f>
        <v>5116800</v>
      </c>
      <c r="O18" s="31">
        <f>IFERROR(sales[[#This Row],[Units]]*sales[[#This Row],[Cost price]],"")</f>
        <v>4264000</v>
      </c>
    </row>
    <row r="19" spans="4:15" ht="21" x14ac:dyDescent="0.3">
      <c r="D19" s="20">
        <v>1022</v>
      </c>
      <c r="E19" s="20" t="str">
        <f>IFERROR(VLOOKUP(sales[[#This Row],[Cust_ID]],customersdata[#All],2,0),"")</f>
        <v>krishna</v>
      </c>
      <c r="F19" s="20" t="s">
        <v>106</v>
      </c>
      <c r="G19" s="20" t="str">
        <f>IFERROR(VLOOKUP(sales[[#This Row],[HSN Code]],product[#All],2,0),"")</f>
        <v>Laptop HP xyz i5</v>
      </c>
      <c r="H19" s="26">
        <v>45881</v>
      </c>
      <c r="I19" s="21" t="str">
        <f>TEXT(sales[[#This Row],[Date]],"yyy")</f>
        <v>2025</v>
      </c>
      <c r="J19" s="20">
        <f>IFERROR(VLOOKUP(sales[[#This Row],[HSN Code]],Inventory[#All],6,0),"")</f>
        <v>331</v>
      </c>
      <c r="K19" s="20">
        <v>45</v>
      </c>
      <c r="L19" s="20">
        <f>VLOOKUP(sales[[#This Row],[HSN Code]],product[#All],3,0)</f>
        <v>34500</v>
      </c>
      <c r="M19" s="20">
        <f>IFERROR(VLOOKUP(sales[[#This Row],[HSN Code]],product[#All],4,0),"")</f>
        <v>41400</v>
      </c>
      <c r="N19" s="29">
        <f>IFERROR(sales[[#This Row],[Units]]*sales[[#This Row],[Selling Price]],"")</f>
        <v>1863000</v>
      </c>
      <c r="O19" s="31">
        <f>IFERROR(sales[[#This Row],[Units]]*sales[[#This Row],[Cost price]],"")</f>
        <v>1552500</v>
      </c>
    </row>
    <row r="20" spans="4:15" ht="21" x14ac:dyDescent="0.3">
      <c r="D20" s="20">
        <v>106</v>
      </c>
      <c r="E20" s="20" t="str">
        <f>IFERROR(VLOOKUP(sales[[#This Row],[Cust_ID]],customersdata[#All],2,0),"")</f>
        <v>Jain Tel.</v>
      </c>
      <c r="F20" s="20" t="s">
        <v>111</v>
      </c>
      <c r="G20" s="20" t="str">
        <f>IFERROR(VLOOKUP(sales[[#This Row],[HSN Code]],product[#All],2,0),"")</f>
        <v>Camera</v>
      </c>
      <c r="H20" s="26">
        <v>45892</v>
      </c>
      <c r="I20" s="21" t="str">
        <f>TEXT(sales[[#This Row],[Date]],"yyy")</f>
        <v>2025</v>
      </c>
      <c r="J20" s="20">
        <v>34</v>
      </c>
      <c r="K20" s="20">
        <v>43</v>
      </c>
      <c r="L20" s="20">
        <f>VLOOKUP(sales[[#This Row],[HSN Code]],product[#All],3,0)</f>
        <v>52000</v>
      </c>
      <c r="M20" s="20">
        <f>IFERROR(VLOOKUP(sales[[#This Row],[HSN Code]],product[#All],4,0),"")</f>
        <v>62400</v>
      </c>
      <c r="N20" s="29">
        <f>IFERROR(sales[[#This Row],[Units]]*sales[[#This Row],[Selling Price]],"")</f>
        <v>2683200</v>
      </c>
      <c r="O20" s="31">
        <f>IFERROR(sales[[#This Row],[Units]]*sales[[#This Row],[Cost price]],"")</f>
        <v>2236000</v>
      </c>
    </row>
    <row r="21" spans="4:15" ht="21" x14ac:dyDescent="0.3">
      <c r="D21" s="20">
        <v>304</v>
      </c>
      <c r="E21" s="20" t="str">
        <f>IFERROR(VLOOKUP(sales[[#This Row],[Cust_ID]],customersdata[#All],2,0),"")</f>
        <v>omsia</v>
      </c>
      <c r="F21" s="20" t="s">
        <v>105</v>
      </c>
      <c r="G21" s="20" t="str">
        <f>IFERROR(VLOOKUP(sales[[#This Row],[HSN Code]],product[#All],2,0),"")</f>
        <v>Smart Watch</v>
      </c>
      <c r="H21" s="26">
        <v>45953</v>
      </c>
      <c r="I21" s="21" t="str">
        <f>TEXT(sales[[#This Row],[Date]],"yyy")</f>
        <v>2025</v>
      </c>
      <c r="J21" s="20">
        <f>IFERROR(VLOOKUP(sales[[#This Row],[HSN Code]],Inventory[#All],6,0),"")</f>
        <v>1109</v>
      </c>
      <c r="K21" s="20">
        <v>23</v>
      </c>
      <c r="L21" s="20">
        <f>VLOOKUP(sales[[#This Row],[HSN Code]],product[#All],3,0)</f>
        <v>980</v>
      </c>
      <c r="M21" s="20">
        <f>IFERROR(VLOOKUP(sales[[#This Row],[HSN Code]],product[#All],4,0),"")</f>
        <v>1176</v>
      </c>
      <c r="N21" s="29">
        <f>IFERROR(sales[[#This Row],[Units]]*sales[[#This Row],[Selling Price]],"")</f>
        <v>27048</v>
      </c>
      <c r="O21" s="31">
        <f>IFERROR(sales[[#This Row],[Units]]*sales[[#This Row],[Cost price]],"")</f>
        <v>22540</v>
      </c>
    </row>
    <row r="22" spans="4:15" ht="21" x14ac:dyDescent="0.3">
      <c r="D22" s="20">
        <v>104</v>
      </c>
      <c r="E22" s="20" t="str">
        <f>IFERROR(VLOOKUP(sales[[#This Row],[Cust_ID]],customersdata[#All],2,0),"")</f>
        <v>Rajesh Kumar</v>
      </c>
      <c r="F22" s="20" t="s">
        <v>117</v>
      </c>
      <c r="G22" s="20" t="str">
        <f>IFERROR(VLOOKUP(sales[[#This Row],[HSN Code]],product[#All],2,0),"")</f>
        <v>ElectricFan</v>
      </c>
      <c r="H22" s="26">
        <v>45908</v>
      </c>
      <c r="I22" s="21" t="str">
        <f>TEXT(sales[[#This Row],[Date]],"yyy")</f>
        <v>2025</v>
      </c>
      <c r="J22" s="20">
        <f>IFERROR(VLOOKUP(sales[[#This Row],[HSN Code]],Inventory[#All],6,0),"")</f>
        <v>580</v>
      </c>
      <c r="K22" s="20">
        <v>20</v>
      </c>
      <c r="L22" s="20">
        <f>VLOOKUP(sales[[#This Row],[HSN Code]],product[#All],3,0)</f>
        <v>1000</v>
      </c>
      <c r="M22" s="20">
        <f>IFERROR(VLOOKUP(sales[[#This Row],[HSN Code]],product[#All],4,0),"")</f>
        <v>1200</v>
      </c>
      <c r="N22" s="29">
        <f>IFERROR(sales[[#This Row],[Units]]*sales[[#This Row],[Selling Price]],"")</f>
        <v>24000</v>
      </c>
      <c r="O22" s="31">
        <f>IFERROR(sales[[#This Row],[Units]]*sales[[#This Row],[Cost price]],"")</f>
        <v>20000</v>
      </c>
    </row>
    <row r="23" spans="4:15" ht="21" x14ac:dyDescent="0.3">
      <c r="D23" s="20">
        <v>93</v>
      </c>
      <c r="E23" s="20" t="str">
        <f>IFERROR(VLOOKUP(sales[[#This Row],[Cust_ID]],customersdata[#All],2,0),"")</f>
        <v>scd</v>
      </c>
      <c r="F23" s="20" t="s">
        <v>118</v>
      </c>
      <c r="G23" s="20" t="str">
        <f>IFERROR(VLOOKUP(sales[[#This Row],[HSN Code]],product[#All],2,0),"")</f>
        <v>Wireless charge</v>
      </c>
      <c r="H23" s="26">
        <v>45909</v>
      </c>
      <c r="I23" s="21" t="str">
        <f>TEXT(sales[[#This Row],[Date]],"yyy")</f>
        <v>2025</v>
      </c>
      <c r="J23" s="20">
        <f>IFERROR(VLOOKUP(sales[[#This Row],[HSN Code]],Inventory[#All],6,0),"")</f>
        <v>200</v>
      </c>
      <c r="K23" s="20">
        <v>100</v>
      </c>
      <c r="L23" s="20">
        <f>VLOOKUP(sales[[#This Row],[HSN Code]],product[#All],3,0)</f>
        <v>300</v>
      </c>
      <c r="M23" s="20">
        <f>IFERROR(VLOOKUP(sales[[#This Row],[HSN Code]],product[#All],4,0),"")</f>
        <v>400</v>
      </c>
      <c r="N23" s="29">
        <f>IFERROR(sales[[#This Row],[Units]]*sales[[#This Row],[Selling Price]],"")</f>
        <v>40000</v>
      </c>
      <c r="O23" s="31">
        <f>IFERROR(sales[[#This Row],[Units]]*sales[[#This Row],[Cost price]],"")</f>
        <v>30000</v>
      </c>
    </row>
    <row r="24" spans="4:15" ht="21" x14ac:dyDescent="0.3">
      <c r="D24" s="20">
        <v>106</v>
      </c>
      <c r="E24" s="20" t="str">
        <f>IFERROR(VLOOKUP(sales[[#This Row],[Cust_ID]],customersdata[#All],2,0),"")</f>
        <v>Jain Tel.</v>
      </c>
      <c r="F24" s="20" t="s">
        <v>119</v>
      </c>
      <c r="G24" s="20" t="str">
        <f>IFERROR(VLOOKUP(sales[[#This Row],[HSN Code]],product[#All],2,0),"")</f>
        <v>pc</v>
      </c>
      <c r="H24" s="26">
        <v>45939</v>
      </c>
      <c r="I24" s="21" t="str">
        <f>TEXT(sales[[#This Row],[Date]],"yyy")</f>
        <v>2025</v>
      </c>
      <c r="J24" s="20">
        <f>IFERROR(VLOOKUP(sales[[#This Row],[HSN Code]],Inventory[#All],6,0),"")</f>
        <v>246</v>
      </c>
      <c r="K24" s="20">
        <v>34</v>
      </c>
      <c r="L24" s="20">
        <f>VLOOKUP(sales[[#This Row],[HSN Code]],product[#All],3,0)</f>
        <v>493</v>
      </c>
      <c r="M24" s="20">
        <f>IFERROR(VLOOKUP(sales[[#This Row],[HSN Code]],product[#All],4,0),"")</f>
        <v>800</v>
      </c>
      <c r="N24" s="29">
        <f>IFERROR(sales[[#This Row],[Units]]*sales[[#This Row],[Selling Price]],"")</f>
        <v>27200</v>
      </c>
      <c r="O24" s="31">
        <f>IFERROR(sales[[#This Row],[Units]]*sales[[#This Row],[Cost price]],"")</f>
        <v>16762</v>
      </c>
    </row>
    <row r="25" spans="4:15" ht="21" x14ac:dyDescent="0.3">
      <c r="D25" s="20">
        <v>104</v>
      </c>
      <c r="E25" s="20" t="str">
        <f>IFERROR(VLOOKUP(sales[[#This Row],[Cust_ID]],customersdata[#All],2,0),"")</f>
        <v>Rajesh Kumar</v>
      </c>
      <c r="F25" s="20" t="s">
        <v>113</v>
      </c>
      <c r="G25" s="20" t="str">
        <f>IFERROR(VLOOKUP(sales[[#This Row],[HSN Code]],product[#All],2,0),"")</f>
        <v>Speakers</v>
      </c>
      <c r="H25" s="26">
        <v>46003</v>
      </c>
      <c r="I25" s="21" t="str">
        <f>TEXT(sales[[#This Row],[Date]],"yyy")</f>
        <v>2025</v>
      </c>
      <c r="J25" s="20">
        <f>IFERROR(VLOOKUP(sales[[#This Row],[HSN Code]],Inventory[#All],6,0),"")</f>
        <v>450</v>
      </c>
      <c r="K25" s="20">
        <v>50</v>
      </c>
      <c r="L25" s="20">
        <f>VLOOKUP(sales[[#This Row],[HSN Code]],product[#All],3,0)</f>
        <v>670</v>
      </c>
      <c r="M25" s="20">
        <f>IFERROR(VLOOKUP(sales[[#This Row],[HSN Code]],product[#All],4,0),"")</f>
        <v>804</v>
      </c>
      <c r="N25" s="29">
        <f>IFERROR(sales[[#This Row],[Units]]*sales[[#This Row],[Selling Price]],"")</f>
        <v>40200</v>
      </c>
      <c r="O25" s="31">
        <f>IFERROR(sales[[#This Row],[Units]]*sales[[#This Row],[Cost price]],"")</f>
        <v>33500</v>
      </c>
    </row>
    <row r="26" spans="4:15" ht="21" x14ac:dyDescent="0.3">
      <c r="D26" s="20">
        <v>104</v>
      </c>
      <c r="E26" s="20" t="str">
        <f>IFERROR(VLOOKUP(sales[[#This Row],[Cust_ID]],customersdata[#All],2,0),"")</f>
        <v>Rajesh Kumar</v>
      </c>
      <c r="F26" s="20" t="s">
        <v>120</v>
      </c>
      <c r="G26" s="20" t="str">
        <f>IFERROR(VLOOKUP(sales[[#This Row],[HSN Code]],product[#All],2,0),"")</f>
        <v>Mobile</v>
      </c>
      <c r="H26" s="26">
        <v>46006</v>
      </c>
      <c r="I26" s="21" t="str">
        <f>TEXT(sales[[#This Row],[Date]],"yyy")</f>
        <v>2025</v>
      </c>
      <c r="J26" s="20">
        <v>24</v>
      </c>
      <c r="K26" s="20">
        <v>20</v>
      </c>
      <c r="L26" s="20">
        <f>VLOOKUP(sales[[#This Row],[HSN Code]],product[#All],3,0)</f>
        <v>10000</v>
      </c>
      <c r="M26" s="20">
        <f>IFERROR(VLOOKUP(sales[[#This Row],[HSN Code]],product[#All],4,0),"")</f>
        <v>12000</v>
      </c>
      <c r="N26" s="29">
        <f>IFERROR(sales[[#This Row],[Units]]*sales[[#This Row],[Selling Price]],"")</f>
        <v>240000</v>
      </c>
      <c r="O26" s="31">
        <f>IFERROR(sales[[#This Row],[Units]]*sales[[#This Row],[Cost price]],"")</f>
        <v>200000</v>
      </c>
    </row>
  </sheetData>
  <phoneticPr fontId="4" type="noConversion"/>
  <dataValidations count="2">
    <dataValidation type="list" allowBlank="1" showInputMessage="1" showErrorMessage="1" sqref="D5:D1048576" xr:uid="{225C172A-D046-42DF-A24B-E71569D590C6}">
      <formula1>Cust_ID</formula1>
    </dataValidation>
    <dataValidation type="list" allowBlank="1" showInputMessage="1" showErrorMessage="1" sqref="F5:F1048576" xr:uid="{15ECFF89-710C-4847-A1A4-D1889A48F050}">
      <formula1>productcode</formula1>
    </dataValidation>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4</vt:i4>
      </vt:variant>
    </vt:vector>
  </HeadingPairs>
  <TitlesOfParts>
    <vt:vector size="13" baseType="lpstr">
      <vt:lpstr>Dashboard</vt:lpstr>
      <vt:lpstr>Customer</vt:lpstr>
      <vt:lpstr>Pivot</vt:lpstr>
      <vt:lpstr>Product</vt:lpstr>
      <vt:lpstr>Purchase</vt:lpstr>
      <vt:lpstr>New Entry</vt:lpstr>
      <vt:lpstr>inventory</vt:lpstr>
      <vt:lpstr>Vendor</vt:lpstr>
      <vt:lpstr>Sales</vt:lpstr>
      <vt:lpstr>Cust_ID</vt:lpstr>
      <vt:lpstr>HSNCODE</vt:lpstr>
      <vt:lpstr>productcode</vt:lpstr>
      <vt:lpstr>purcode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HARE KRISHNA</dc:creator>
  <cp:keywords/>
  <dc:description/>
  <cp:lastModifiedBy>HARE KRISHNA</cp:lastModifiedBy>
  <cp:revision/>
  <dcterms:created xsi:type="dcterms:W3CDTF">2025-05-20T09:14:34Z</dcterms:created>
  <dcterms:modified xsi:type="dcterms:W3CDTF">2025-06-22T15:22:10Z</dcterms:modified>
  <cp:category/>
  <cp:contentStatus/>
</cp:coreProperties>
</file>